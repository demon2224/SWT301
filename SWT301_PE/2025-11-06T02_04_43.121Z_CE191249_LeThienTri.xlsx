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CB2B8AA1-35E9-4AE4-A2B8-BCA55B4FC05D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Q1" sheetId="2" r:id="rId1"/>
    <sheet name="Q2" sheetId="3" r:id="rId2"/>
    <sheet name="Q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D4" i="4"/>
  <c r="E3" i="4"/>
  <c r="D3" i="4"/>
  <c r="E2" i="4"/>
  <c r="D2" i="4"/>
  <c r="O6" i="3"/>
  <c r="N6" i="3"/>
  <c r="M6" i="3"/>
  <c r="L6" i="3"/>
  <c r="C6" i="3"/>
  <c r="A6" i="3"/>
  <c r="F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Input number line of code</t>
        </r>
      </text>
    </comment>
    <comment ref="A4" authorId="0" shapeId="0" xr:uid="{00000000-0006-0000-0100-00000200000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9" authorId="0" shapeId="0" xr:uid="{00000000-0006-0000-0100-000003000000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5" authorId="0" shapeId="0" xr:uid="{00000000-0006-0000-0200-000001000000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<sst xmlns="http://schemas.openxmlformats.org/spreadsheetml/2006/main" count="214" uniqueCount="116">
  <si>
    <t>Issue No</t>
  </si>
  <si>
    <t>Description</t>
  </si>
  <si>
    <t>Line</t>
  </si>
  <si>
    <t>Detail</t>
  </si>
  <si>
    <t>* Notes:</t>
  </si>
  <si>
    <t xml:space="preserve">Blue text is sample, needed to be deleted in the answer </t>
  </si>
  <si>
    <t>Function Code</t>
  </si>
  <si>
    <t>Function Name</t>
  </si>
  <si>
    <t>Created By</t>
  </si>
  <si>
    <t>Executed By</t>
  </si>
  <si>
    <t>Lines  of code</t>
  </si>
  <si>
    <t>Lack of test cases</t>
  </si>
  <si>
    <t>Test requirement</t>
  </si>
  <si>
    <t>Passed</t>
  </si>
  <si>
    <t>Failed</t>
  </si>
  <si>
    <t>Untested</t>
  </si>
  <si>
    <t>N/A/B</t>
  </si>
  <si>
    <t>Total Test Cases</t>
  </si>
  <si>
    <t>UTCID01</t>
  </si>
  <si>
    <t>UTCID02</t>
  </si>
  <si>
    <t>UTCID03</t>
  </si>
  <si>
    <t>Condition</t>
  </si>
  <si>
    <t xml:space="preserve">Precondition </t>
  </si>
  <si>
    <t>Input condition</t>
  </si>
  <si>
    <t>O</t>
  </si>
  <si>
    <t>Confirm</t>
  </si>
  <si>
    <t>Return</t>
  </si>
  <si>
    <t>Exception</t>
  </si>
  <si>
    <t>Log message</t>
  </si>
  <si>
    <t>Result</t>
  </si>
  <si>
    <t>Type(N : Normal, A : Abnormal, B : Boundary)</t>
  </si>
  <si>
    <t>N</t>
  </si>
  <si>
    <t>Passed/Failed</t>
  </si>
  <si>
    <t>Executed Date</t>
  </si>
  <si>
    <t>Defect ID</t>
  </si>
  <si>
    <t>Don't edit the grey cell</t>
  </si>
  <si>
    <t>Test case</t>
  </si>
  <si>
    <t>Module Code</t>
  </si>
  <si>
    <t>Tester</t>
  </si>
  <si>
    <t>ID</t>
  </si>
  <si>
    <t>Test Case Description</t>
  </si>
  <si>
    <t>Pre -Condition</t>
  </si>
  <si>
    <t>Test Case Procedure</t>
  </si>
  <si>
    <t>Expected Output</t>
  </si>
  <si>
    <t>Test date
(dd/mm/yyyy)</t>
  </si>
  <si>
    <t>Note</t>
  </si>
  <si>
    <t>TC001</t>
  </si>
  <si>
    <t>Lê Thiện Trí</t>
  </si>
  <si>
    <t>CalculateDiscount</t>
  </si>
  <si>
    <t>int capacity = capacity;</t>
  </si>
  <si>
    <t>Alrealy have a capacity variable.</t>
  </si>
  <si>
    <t>System.capacity = -10;</t>
  </si>
  <si>
    <t>Missing empty constructor</t>
  </si>
  <si>
    <t>BookingSystem system = new BookingSystem();</t>
  </si>
  <si>
    <t>Logic error: how can the capacity be below 0</t>
  </si>
  <si>
    <t>if(bookedSeats &gt; capacity)</t>
  </si>
  <si>
    <t>Missing nofication</t>
  </si>
  <si>
    <t>bookedSeats--;</t>
  </si>
  <si>
    <t>if(bookedSeats &lt; 0)</t>
  </si>
  <si>
    <t xml:space="preserve">Validation not enough 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</si>
  <si>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</si>
  <si>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</si>
  <si>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</si>
  <si>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</si>
  <si>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</si>
  <si>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</si>
  <si>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</si>
  <si>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</si>
  <si>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customerType</t>
  </si>
  <si>
    <t>purchaseAmount</t>
  </si>
  <si>
    <t>IllegalArgumentException</t>
  </si>
  <si>
    <t>"Invalid customer type."</t>
  </si>
  <si>
    <t>hasCoupon</t>
  </si>
  <si>
    <t>"regular"</t>
  </si>
  <si>
    <t>"gold"</t>
  </si>
  <si>
    <t>"platinum"</t>
  </si>
  <si>
    <t>"default"</t>
  </si>
  <si>
    <t>Design and create the minimum number of test cases 
necessary to achieve 100% statement and decision coverage.</t>
  </si>
  <si>
    <t>A</t>
  </si>
  <si>
    <t>Shipping Cost Calculator</t>
  </si>
  <si>
    <t>Click on "Calculate" button with no data.</t>
  </si>
  <si>
    <t>Normal</t>
  </si>
  <si>
    <t>TC002</t>
  </si>
  <si>
    <t>The system display the error message
- "Package Weight is required"
- "Package Dimensions are required"
- "Shipping Method is required "</t>
  </si>
  <si>
    <t>The system display the error message "Package Weight is required"</t>
  </si>
  <si>
    <t>TC003</t>
  </si>
  <si>
    <t>TC004</t>
  </si>
  <si>
    <t>Shipping Method not chosen.</t>
  </si>
  <si>
    <t>The system display the error message "Package Dimensions are required"</t>
  </si>
  <si>
    <t>The system display the error message "Shipping 
Method is required"</t>
  </si>
  <si>
    <t>TC005</t>
  </si>
  <si>
    <t>Package Dimensions is empty.</t>
  </si>
  <si>
    <t>Package Weight is empty.</t>
  </si>
  <si>
    <t>The system display the error message "Invalid Package Weight. Must be between 0 
and 100 kg"</t>
  </si>
  <si>
    <t>TC006</t>
  </si>
  <si>
    <t>Input String into Package Weight.</t>
  </si>
  <si>
    <t>Pass</t>
  </si>
  <si>
    <t>TC007</t>
  </si>
  <si>
    <t>Input -1 into Package Weight.</t>
  </si>
  <si>
    <t>Input 101 into Package Weight.</t>
  </si>
  <si>
    <t>TC008</t>
  </si>
  <si>
    <t>Input String into Package Dimensions</t>
  </si>
  <si>
    <t>The system display the error message "Invalid Package Dimensions or volume limit 
exceeded"</t>
  </si>
  <si>
    <t>TC009</t>
  </si>
  <si>
    <t>Input invalid format</t>
  </si>
  <si>
    <t>User log into system and chosen shipping cost calculator function</t>
  </si>
  <si>
    <t>1. Login the system.
2. Chosen Shipping Cost Calculator.
3.Click on "Calculate" button</t>
  </si>
  <si>
    <t>1. Login the system.
2. Chosen Shipping Cost Calculator.
3. Package Weight: empty
4. Package Dimensions: 20 x 10 x 30
5. Shipping Method: Standard
6.Click on "Calculate" button</t>
  </si>
  <si>
    <t>1. Login the system.
2. Chosen Shipping Cost Calculator.
3. Package Weight: 30
4. Package Dimensions: empty
5. Shipping Method: Standard
6.Click on "Calculate" button</t>
  </si>
  <si>
    <t>1. Login the system.
2. Chosen Shipping Cost Calculator.
3. Package Weight: 30
4. Package Dimensions: 20 x 10 x 30
5. Shipping Method: Chose Shiping Method
6.Click on "Calculate" button</t>
  </si>
  <si>
    <t>1. Login the system.
2. Chosen Shipping Cost Calculator.
3. Package Weight: 101
4. Package Dimensions: 20 x 10 x 30
5. Shipping Method: Standard
6.Click on "Calculate" button</t>
  </si>
  <si>
    <t>1. Login the system.
2. Chosen Shipping Cost Calculator.
3. Package Weight: -1
4. Package Dimensions: 20 x 10 x 30
5. Shipping Method: Standard
6.Click on "Calculate" button</t>
  </si>
  <si>
    <t>1. Login the system.
2. Chosen Shipping Cost Calculator.
3. Package Weight: Hello
4. Package Dimensions: 20 x 10 x 30
5. Shipping Method: Standard
6.Click on "Calculate" button</t>
  </si>
  <si>
    <t>1. Login the system.
2. Chosen Shipping Cost Calculator.
3. Package Weight: 50
4. Package Dimensions: Hello
5. Shipping Method: Standard
6.Click on "Calculate" button</t>
  </si>
  <si>
    <t>1. Login the system.
2. Chosen Shipping Cost Calculator.
3. Package Weight: 50
4. Package Dimensions: 20 x 10
5. Shipping Method: Standard
6.Click on "Calculate" button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</si>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</sst>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b/>
      <sz val="8"/>
      <name val="Tahoma"/>
      <family val="2"/>
    </font>
    <font>
      <b/>
      <sz val="8"/>
      <color rgb="FF0070C0"/>
      <name val="Tahoma"/>
      <family val="2"/>
    </font>
    <font>
      <i/>
      <sz val="8"/>
      <color theme="4"/>
      <name val="Tahoma"/>
      <family val="2"/>
    </font>
    <font>
      <sz val="8"/>
      <color theme="4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0"/>
      <color indexed="9"/>
      <name val="Tahoma"/>
      <family val="2"/>
    </font>
    <font>
      <sz val="8"/>
      <color indexed="9"/>
      <name val="Tahoma"/>
      <family val="2"/>
    </font>
    <font>
      <b/>
      <sz val="8"/>
      <color theme="1"/>
      <name val="Tahoma"/>
      <family val="2"/>
    </font>
    <font>
      <b/>
      <sz val="8"/>
      <color indexed="9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sz val="8"/>
      <color indexed="17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b/>
      <sz val="16"/>
      <name val="Tahoma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0"/>
      <color indexed="1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8"/>
      <color indexed="8"/>
      <name val="Times New Roman"/>
      <family val="1"/>
    </font>
    <font>
      <sz val="8"/>
      <name val="Calibri"/>
      <family val="2"/>
      <scheme val="minor"/>
    </font>
    <font>
      <sz val="11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Tahoma"/>
      <family val="2"/>
    </font>
    <font>
      <i/>
      <sz val="8"/>
      <color theme="1"/>
      <name val="Tahoma"/>
      <family val="2"/>
    </font>
    <font>
      <sz val="10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3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1" fillId="0" borderId="0" applyNumberFormat="0" applyFill="0" applyBorder="0" applyAlignment="0" applyProtection="0"/>
  </cellStyleXfs>
  <cellXfs count="167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1" applyFont="1"/>
    <xf numFmtId="0" fontId="4" fillId="0" borderId="0" xfId="1" applyFont="1"/>
    <xf numFmtId="0" fontId="7" fillId="0" borderId="0" xfId="1" applyFont="1"/>
    <xf numFmtId="0" fontId="7" fillId="0" borderId="0" xfId="1" applyFont="1" applyAlignment="1">
      <alignment horizontal="center"/>
    </xf>
    <xf numFmtId="0" fontId="7" fillId="3" borderId="31" xfId="1" applyFont="1" applyFill="1" applyBorder="1" applyAlignment="1">
      <alignment horizontal="center" vertical="center"/>
    </xf>
    <xf numFmtId="0" fontId="7" fillId="0" borderId="33" xfId="1" applyFont="1" applyBorder="1"/>
    <xf numFmtId="0" fontId="3" fillId="0" borderId="0" xfId="1" applyFont="1" applyAlignment="1">
      <alignment horizontal="left"/>
    </xf>
    <xf numFmtId="0" fontId="7" fillId="0" borderId="0" xfId="1" applyFont="1" applyAlignment="1">
      <alignment horizontal="right"/>
    </xf>
    <xf numFmtId="0" fontId="10" fillId="2" borderId="35" xfId="1" applyFont="1" applyFill="1" applyBorder="1"/>
    <xf numFmtId="0" fontId="11" fillId="2" borderId="36" xfId="1" applyFont="1" applyFill="1" applyBorder="1" applyAlignment="1">
      <alignment vertical="top" textRotation="180"/>
    </xf>
    <xf numFmtId="0" fontId="12" fillId="2" borderId="36" xfId="1" applyFont="1" applyFill="1" applyBorder="1" applyAlignment="1">
      <alignment vertical="top" textRotation="180"/>
    </xf>
    <xf numFmtId="0" fontId="12" fillId="2" borderId="37" xfId="1" applyFont="1" applyFill="1" applyBorder="1" applyAlignment="1">
      <alignment vertical="top" textRotation="180"/>
    </xf>
    <xf numFmtId="49" fontId="7" fillId="0" borderId="0" xfId="1" applyNumberFormat="1" applyFont="1" applyAlignment="1">
      <alignment horizontal="center"/>
    </xf>
    <xf numFmtId="0" fontId="11" fillId="2" borderId="38" xfId="1" applyFont="1" applyFill="1" applyBorder="1" applyAlignment="1">
      <alignment vertical="center"/>
    </xf>
    <xf numFmtId="0" fontId="3" fillId="6" borderId="39" xfId="1" applyFont="1" applyFill="1" applyBorder="1" applyAlignment="1">
      <alignment horizontal="left" vertical="top"/>
    </xf>
    <xf numFmtId="0" fontId="7" fillId="6" borderId="3" xfId="1" applyFont="1" applyFill="1" applyBorder="1" applyAlignment="1">
      <alignment horizontal="center" vertical="top"/>
    </xf>
    <xf numFmtId="0" fontId="7" fillId="6" borderId="5" xfId="1" applyFont="1" applyFill="1" applyBorder="1" applyAlignment="1">
      <alignment horizontal="right" vertical="top"/>
    </xf>
    <xf numFmtId="0" fontId="13" fillId="0" borderId="41" xfId="1" applyFont="1" applyBorder="1" applyAlignment="1">
      <alignment horizontal="center"/>
    </xf>
    <xf numFmtId="0" fontId="13" fillId="0" borderId="42" xfId="1" applyFont="1" applyBorder="1" applyAlignment="1">
      <alignment horizontal="center"/>
    </xf>
    <xf numFmtId="0" fontId="11" fillId="2" borderId="43" xfId="1" applyFont="1" applyFill="1" applyBorder="1" applyAlignment="1">
      <alignment vertical="center"/>
    </xf>
    <xf numFmtId="0" fontId="3" fillId="6" borderId="15" xfId="1" applyFont="1" applyFill="1" applyBorder="1" applyAlignment="1">
      <alignment horizontal="left" vertical="top"/>
    </xf>
    <xf numFmtId="0" fontId="7" fillId="6" borderId="15" xfId="1" applyFont="1" applyFill="1" applyBorder="1" applyAlignment="1">
      <alignment horizontal="center" vertical="top"/>
    </xf>
    <xf numFmtId="0" fontId="6" fillId="6" borderId="16" xfId="1" applyFont="1" applyFill="1" applyBorder="1" applyAlignment="1">
      <alignment horizontal="right" vertical="top"/>
    </xf>
    <xf numFmtId="0" fontId="13" fillId="0" borderId="1" xfId="1" applyFont="1" applyBorder="1" applyAlignment="1">
      <alignment horizontal="center"/>
    </xf>
    <xf numFmtId="0" fontId="13" fillId="0" borderId="45" xfId="1" applyFont="1" applyBorder="1" applyAlignment="1">
      <alignment horizontal="center"/>
    </xf>
    <xf numFmtId="0" fontId="6" fillId="0" borderId="44" xfId="1" applyFont="1" applyBorder="1" applyAlignment="1">
      <alignment vertical="top"/>
    </xf>
    <xf numFmtId="0" fontId="3" fillId="0" borderId="0" xfId="1" applyFont="1" applyAlignment="1">
      <alignment horizontal="center"/>
    </xf>
    <xf numFmtId="0" fontId="7" fillId="6" borderId="16" xfId="1" applyFont="1" applyFill="1" applyBorder="1" applyAlignment="1">
      <alignment horizontal="right" vertical="top"/>
    </xf>
    <xf numFmtId="0" fontId="3" fillId="6" borderId="47" xfId="1" applyFont="1" applyFill="1" applyBorder="1" applyAlignment="1">
      <alignment horizontal="left" vertical="top"/>
    </xf>
    <xf numFmtId="0" fontId="11" fillId="2" borderId="48" xfId="1" applyFont="1" applyFill="1" applyBorder="1" applyAlignment="1">
      <alignment vertical="center"/>
    </xf>
    <xf numFmtId="0" fontId="3" fillId="6" borderId="49" xfId="1" applyFont="1" applyFill="1" applyBorder="1" applyAlignment="1">
      <alignment horizontal="left" vertical="top"/>
    </xf>
    <xf numFmtId="0" fontId="7" fillId="6" borderId="50" xfId="1" applyFont="1" applyFill="1" applyBorder="1" applyAlignment="1">
      <alignment horizontal="center" vertical="top"/>
    </xf>
    <xf numFmtId="0" fontId="7" fillId="6" borderId="51" xfId="1" applyFont="1" applyFill="1" applyBorder="1" applyAlignment="1">
      <alignment horizontal="right" vertical="top"/>
    </xf>
    <xf numFmtId="0" fontId="13" fillId="0" borderId="52" xfId="1" applyFont="1" applyBorder="1" applyAlignment="1">
      <alignment horizontal="center"/>
    </xf>
    <xf numFmtId="0" fontId="13" fillId="0" borderId="53" xfId="1" applyFont="1" applyBorder="1" applyAlignment="1">
      <alignment horizontal="center"/>
    </xf>
    <xf numFmtId="0" fontId="11" fillId="2" borderId="38" xfId="1" applyFont="1" applyFill="1" applyBorder="1" applyAlignment="1">
      <alignment vertical="top"/>
    </xf>
    <xf numFmtId="0" fontId="3" fillId="6" borderId="54" xfId="1" applyFont="1" applyFill="1" applyBorder="1"/>
    <xf numFmtId="0" fontId="3" fillId="6" borderId="3" xfId="1" applyFont="1" applyFill="1" applyBorder="1"/>
    <xf numFmtId="0" fontId="7" fillId="6" borderId="5" xfId="1" applyFont="1" applyFill="1" applyBorder="1" applyAlignment="1">
      <alignment horizontal="right"/>
    </xf>
    <xf numFmtId="0" fontId="13" fillId="0" borderId="55" xfId="1" applyFont="1" applyBorder="1" applyAlignment="1">
      <alignment horizontal="center"/>
    </xf>
    <xf numFmtId="0" fontId="13" fillId="0" borderId="56" xfId="1" applyFont="1" applyBorder="1" applyAlignment="1">
      <alignment horizontal="center"/>
    </xf>
    <xf numFmtId="0" fontId="11" fillId="2" borderId="43" xfId="1" applyFont="1" applyFill="1" applyBorder="1" applyAlignment="1">
      <alignment vertical="top"/>
    </xf>
    <xf numFmtId="0" fontId="3" fillId="6" borderId="47" xfId="1" applyFont="1" applyFill="1" applyBorder="1"/>
    <xf numFmtId="0" fontId="7" fillId="6" borderId="15" xfId="1" applyFont="1" applyFill="1" applyBorder="1"/>
    <xf numFmtId="0" fontId="14" fillId="6" borderId="15" xfId="1" applyFont="1" applyFill="1" applyBorder="1"/>
    <xf numFmtId="0" fontId="7" fillId="6" borderId="16" xfId="1" applyFont="1" applyFill="1" applyBorder="1" applyAlignment="1">
      <alignment horizontal="right"/>
    </xf>
    <xf numFmtId="0" fontId="11" fillId="2" borderId="48" xfId="1" applyFont="1" applyFill="1" applyBorder="1" applyAlignment="1">
      <alignment vertical="top"/>
    </xf>
    <xf numFmtId="0" fontId="3" fillId="6" borderId="57" xfId="1" applyFont="1" applyFill="1" applyBorder="1"/>
    <xf numFmtId="0" fontId="7" fillId="6" borderId="58" xfId="1" applyFont="1" applyFill="1" applyBorder="1"/>
    <xf numFmtId="0" fontId="6" fillId="6" borderId="59" xfId="1" applyFont="1" applyFill="1" applyBorder="1" applyAlignment="1">
      <alignment horizontal="right"/>
    </xf>
    <xf numFmtId="0" fontId="13" fillId="0" borderId="60" xfId="1" applyFont="1" applyBorder="1" applyAlignment="1">
      <alignment horizontal="center"/>
    </xf>
    <xf numFmtId="0" fontId="13" fillId="0" borderId="61" xfId="1" applyFont="1" applyBorder="1" applyAlignment="1">
      <alignment horizontal="center"/>
    </xf>
    <xf numFmtId="0" fontId="7" fillId="0" borderId="41" xfId="1" applyFont="1" applyBorder="1" applyAlignment="1">
      <alignment horizontal="left"/>
    </xf>
    <xf numFmtId="0" fontId="7" fillId="0" borderId="41" xfId="1" applyFont="1" applyBorder="1" applyAlignment="1">
      <alignment horizontal="center"/>
    </xf>
    <xf numFmtId="0" fontId="7" fillId="0" borderId="42" xfId="1" applyFont="1" applyBorder="1" applyAlignment="1">
      <alignment horizontal="center"/>
    </xf>
    <xf numFmtId="0" fontId="15" fillId="0" borderId="1" xfId="1" applyFont="1" applyBorder="1" applyAlignment="1">
      <alignment horizontal="left"/>
    </xf>
    <xf numFmtId="0" fontId="7" fillId="0" borderId="1" xfId="1" applyFont="1" applyBorder="1" applyAlignment="1">
      <alignment horizontal="center"/>
    </xf>
    <xf numFmtId="0" fontId="7" fillId="0" borderId="45" xfId="1" applyFont="1" applyBorder="1" applyAlignment="1">
      <alignment horizontal="center"/>
    </xf>
    <xf numFmtId="0" fontId="7" fillId="0" borderId="1" xfId="1" applyFont="1" applyBorder="1"/>
    <xf numFmtId="165" fontId="7" fillId="0" borderId="1" xfId="1" applyNumberFormat="1" applyFont="1" applyBorder="1" applyAlignment="1">
      <alignment vertical="top" textRotation="255"/>
    </xf>
    <xf numFmtId="165" fontId="7" fillId="0" borderId="45" xfId="1" applyNumberFormat="1" applyFont="1" applyBorder="1" applyAlignment="1">
      <alignment vertical="top" textRotation="255"/>
    </xf>
    <xf numFmtId="0" fontId="7" fillId="0" borderId="60" xfId="1" applyFont="1" applyBorder="1"/>
    <xf numFmtId="0" fontId="7" fillId="0" borderId="60" xfId="1" applyFont="1" applyBorder="1" applyAlignment="1">
      <alignment textRotation="255"/>
    </xf>
    <xf numFmtId="0" fontId="7" fillId="0" borderId="61" xfId="1" applyFont="1" applyBorder="1" applyAlignment="1">
      <alignment textRotation="255"/>
    </xf>
    <xf numFmtId="0" fontId="12" fillId="0" borderId="0" xfId="1" applyFont="1" applyAlignment="1">
      <alignment vertical="top"/>
    </xf>
    <xf numFmtId="0" fontId="7" fillId="2" borderId="0" xfId="1" applyFont="1" applyFill="1"/>
    <xf numFmtId="0" fontId="3" fillId="2" borderId="0" xfId="1" applyFont="1" applyFill="1" applyAlignment="1">
      <alignment horizontal="left"/>
    </xf>
    <xf numFmtId="0" fontId="7" fillId="0" borderId="0" xfId="0" applyFont="1"/>
    <xf numFmtId="0" fontId="20" fillId="0" borderId="0" xfId="0" applyFont="1"/>
    <xf numFmtId="0" fontId="22" fillId="0" borderId="62" xfId="3" applyFont="1" applyFill="1" applyBorder="1" applyAlignment="1">
      <alignment horizontal="left" vertical="top" wrapText="1"/>
    </xf>
    <xf numFmtId="0" fontId="23" fillId="0" borderId="62" xfId="0" applyFont="1" applyBorder="1" applyAlignment="1">
      <alignment horizontal="left" vertical="top" wrapText="1"/>
    </xf>
    <xf numFmtId="0" fontId="23" fillId="0" borderId="62" xfId="0" applyFont="1" applyBorder="1" applyAlignment="1">
      <alignment vertical="top" wrapText="1"/>
    </xf>
    <xf numFmtId="0" fontId="23" fillId="0" borderId="0" xfId="0" applyFont="1"/>
    <xf numFmtId="0" fontId="24" fillId="0" borderId="62" xfId="2" applyFont="1" applyBorder="1" applyAlignment="1">
      <alignment horizontal="left" vertical="top" wrapText="1"/>
    </xf>
    <xf numFmtId="0" fontId="23" fillId="0" borderId="62" xfId="2" applyFont="1" applyBorder="1" applyAlignment="1">
      <alignment horizontal="left" vertical="top" wrapText="1"/>
    </xf>
    <xf numFmtId="0" fontId="24" fillId="0" borderId="63" xfId="2" applyFont="1" applyBorder="1" applyAlignment="1">
      <alignment horizontal="left" vertical="top" wrapText="1"/>
    </xf>
    <xf numFmtId="0" fontId="23" fillId="0" borderId="63" xfId="0" applyFont="1" applyBorder="1" applyAlignment="1">
      <alignment horizontal="left" vertical="top" wrapText="1"/>
    </xf>
    <xf numFmtId="2" fontId="23" fillId="0" borderId="63" xfId="0" applyNumberFormat="1" applyFont="1" applyBorder="1" applyAlignment="1">
      <alignment vertical="top" wrapText="1"/>
    </xf>
    <xf numFmtId="0" fontId="3" fillId="5" borderId="1" xfId="2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top" wrapText="1"/>
    </xf>
    <xf numFmtId="0" fontId="8" fillId="8" borderId="40" xfId="1" applyFont="1" applyFill="1" applyBorder="1" applyAlignment="1">
      <alignment horizontal="right"/>
    </xf>
    <xf numFmtId="0" fontId="5" fillId="8" borderId="44" xfId="1" applyFont="1" applyFill="1" applyBorder="1" applyAlignment="1">
      <alignment horizontal="right"/>
    </xf>
    <xf numFmtId="0" fontId="7" fillId="8" borderId="44" xfId="1" applyFont="1" applyFill="1" applyBorder="1" applyAlignment="1">
      <alignment horizontal="right"/>
    </xf>
    <xf numFmtId="0" fontId="7" fillId="8" borderId="55" xfId="1" applyFont="1" applyFill="1" applyBorder="1" applyAlignment="1">
      <alignment horizontal="left"/>
    </xf>
    <xf numFmtId="0" fontId="7" fillId="8" borderId="1" xfId="1" applyFont="1" applyFill="1" applyBorder="1" applyAlignment="1">
      <alignment horizontal="left"/>
    </xf>
    <xf numFmtId="0" fontId="7" fillId="8" borderId="1" xfId="1" applyFont="1" applyFill="1" applyBorder="1"/>
    <xf numFmtId="0" fontId="7" fillId="8" borderId="60" xfId="1" applyFont="1" applyFill="1" applyBorder="1" applyAlignment="1">
      <alignment horizontal="left"/>
    </xf>
    <xf numFmtId="0" fontId="7" fillId="0" borderId="46" xfId="1" applyFont="1" applyBorder="1" applyAlignment="1">
      <alignment horizontal="left"/>
    </xf>
    <xf numFmtId="0" fontId="7" fillId="0" borderId="41" xfId="1" applyFont="1" applyBorder="1" applyAlignment="1">
      <alignment horizontal="left"/>
    </xf>
    <xf numFmtId="0" fontId="7" fillId="0" borderId="16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7" fillId="0" borderId="16" xfId="1" applyFont="1" applyBorder="1" applyAlignment="1">
      <alignment horizontal="left" vertical="top"/>
    </xf>
    <xf numFmtId="0" fontId="7" fillId="0" borderId="1" xfId="1" applyFont="1" applyBorder="1" applyAlignment="1">
      <alignment horizontal="left" vertical="top"/>
    </xf>
    <xf numFmtId="0" fontId="7" fillId="0" borderId="59" xfId="1" applyFont="1" applyBorder="1" applyAlignment="1">
      <alignment horizontal="left" vertical="top"/>
    </xf>
    <xf numFmtId="0" fontId="7" fillId="0" borderId="60" xfId="1" applyFont="1" applyBorder="1" applyAlignment="1">
      <alignment horizontal="left" vertical="top"/>
    </xf>
    <xf numFmtId="164" fontId="9" fillId="5" borderId="34" xfId="1" applyNumberFormat="1" applyFont="1" applyFill="1" applyBorder="1" applyAlignment="1">
      <alignment horizontal="center" vertical="center"/>
    </xf>
    <xf numFmtId="164" fontId="9" fillId="5" borderId="35" xfId="1" applyNumberFormat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8" xfId="1" applyFont="1" applyFill="1" applyBorder="1" applyAlignment="1">
      <alignment horizontal="center" vertical="center" wrapText="1"/>
    </xf>
    <xf numFmtId="0" fontId="3" fillId="3" borderId="19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24" xfId="1" applyFont="1" applyFill="1" applyBorder="1" applyAlignment="1">
      <alignment horizontal="center" vertical="center" wrapText="1"/>
    </xf>
    <xf numFmtId="0" fontId="3" fillId="3" borderId="20" xfId="1" applyFont="1" applyFill="1" applyBorder="1" applyAlignment="1">
      <alignment horizontal="center" vertical="center" wrapText="1"/>
    </xf>
    <xf numFmtId="0" fontId="3" fillId="3" borderId="25" xfId="1" applyFont="1" applyFill="1" applyBorder="1" applyAlignment="1">
      <alignment horizontal="center" vertical="center" wrapText="1"/>
    </xf>
    <xf numFmtId="0" fontId="7" fillId="3" borderId="26" xfId="1" applyFont="1" applyFill="1" applyBorder="1" applyAlignment="1">
      <alignment horizontal="center" vertical="center"/>
    </xf>
    <xf numFmtId="0" fontId="7" fillId="3" borderId="27" xfId="1" applyFont="1" applyFill="1" applyBorder="1" applyAlignment="1">
      <alignment horizontal="center" vertical="center"/>
    </xf>
    <xf numFmtId="0" fontId="7" fillId="3" borderId="28" xfId="1" applyFont="1" applyFill="1" applyBorder="1" applyAlignment="1">
      <alignment horizontal="center" vertical="center"/>
    </xf>
    <xf numFmtId="0" fontId="7" fillId="3" borderId="29" xfId="1" applyFont="1" applyFill="1" applyBorder="1" applyAlignment="1">
      <alignment horizontal="center" vertical="center"/>
    </xf>
    <xf numFmtId="0" fontId="7" fillId="3" borderId="30" xfId="1" applyFont="1" applyFill="1" applyBorder="1" applyAlignment="1">
      <alignment horizontal="center" vertical="center"/>
    </xf>
    <xf numFmtId="0" fontId="7" fillId="3" borderId="31" xfId="1" applyFont="1" applyFill="1" applyBorder="1" applyAlignment="1">
      <alignment horizontal="center" vertical="center"/>
    </xf>
    <xf numFmtId="0" fontId="7" fillId="3" borderId="32" xfId="1" applyFont="1" applyFill="1" applyBorder="1" applyAlignment="1">
      <alignment horizontal="center" vertical="center"/>
    </xf>
    <xf numFmtId="0" fontId="3" fillId="3" borderId="9" xfId="2" applyFont="1" applyFill="1" applyBorder="1" applyAlignment="1">
      <alignment horizontal="left" wrapText="1"/>
    </xf>
    <xf numFmtId="0" fontId="3" fillId="3" borderId="10" xfId="2" applyFont="1" applyFill="1" applyBorder="1" applyAlignment="1">
      <alignment horizontal="left" wrapText="1"/>
    </xf>
    <xf numFmtId="0" fontId="3" fillId="3" borderId="2" xfId="2" applyFont="1" applyFill="1" applyBorder="1" applyAlignment="1">
      <alignment horizontal="left" wrapText="1"/>
    </xf>
    <xf numFmtId="0" fontId="3" fillId="3" borderId="3" xfId="2" applyFont="1" applyFill="1" applyBorder="1" applyAlignment="1">
      <alignment horizontal="left" wrapText="1"/>
    </xf>
    <xf numFmtId="0" fontId="19" fillId="0" borderId="0" xfId="2" applyFont="1" applyAlignment="1">
      <alignment horizontal="center" vertical="top" wrapText="1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right" vertical="top" wrapText="1"/>
    </xf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horizontal="right" vertical="top"/>
    </xf>
    <xf numFmtId="0" fontId="27" fillId="6" borderId="15" xfId="1" applyFont="1" applyFill="1" applyBorder="1"/>
    <xf numFmtId="0" fontId="28" fillId="6" borderId="16" xfId="1" applyFont="1" applyFill="1" applyBorder="1" applyAlignment="1">
      <alignment horizontal="right"/>
    </xf>
    <xf numFmtId="0" fontId="11" fillId="6" borderId="15" xfId="1" applyFont="1" applyFill="1" applyBorder="1" applyAlignment="1">
      <alignment horizontal="left" vertical="top"/>
    </xf>
    <xf numFmtId="0" fontId="28" fillId="6" borderId="15" xfId="1" applyFont="1" applyFill="1" applyBorder="1" applyAlignment="1">
      <alignment horizontal="center" vertical="top"/>
    </xf>
    <xf numFmtId="0" fontId="28" fillId="6" borderId="16" xfId="1" applyFont="1" applyFill="1" applyBorder="1" applyAlignment="1">
      <alignment horizontal="right" vertical="top"/>
    </xf>
    <xf numFmtId="0" fontId="28" fillId="8" borderId="44" xfId="1" applyFont="1" applyFill="1" applyBorder="1" applyAlignment="1">
      <alignment horizontal="right"/>
    </xf>
    <xf numFmtId="0" fontId="28" fillId="0" borderId="39" xfId="1" applyFont="1" applyBorder="1" applyAlignment="1">
      <alignment horizontal="right"/>
    </xf>
    <xf numFmtId="0" fontId="28" fillId="0" borderId="46" xfId="1" applyFont="1" applyBorder="1" applyAlignment="1">
      <alignment horizontal="right"/>
    </xf>
    <xf numFmtId="0" fontId="28" fillId="0" borderId="15" xfId="1" applyFont="1" applyBorder="1" applyAlignment="1">
      <alignment horizontal="right"/>
    </xf>
    <xf numFmtId="0" fontId="28" fillId="0" borderId="16" xfId="1" applyFont="1" applyBorder="1" applyAlignment="1">
      <alignment horizontal="right"/>
    </xf>
    <xf numFmtId="0" fontId="28" fillId="0" borderId="0" xfId="1" applyFont="1" applyAlignment="1">
      <alignment horizontal="right"/>
    </xf>
    <xf numFmtId="0" fontId="28" fillId="0" borderId="44" xfId="1" applyFont="1" applyBorder="1" applyAlignment="1">
      <alignment horizontal="right"/>
    </xf>
    <xf numFmtId="0" fontId="28" fillId="6" borderId="46" xfId="1" applyFont="1" applyFill="1" applyBorder="1" applyAlignment="1">
      <alignment horizontal="right" vertical="top"/>
    </xf>
    <xf numFmtId="0" fontId="29" fillId="0" borderId="0" xfId="1" applyFont="1" applyAlignment="1">
      <alignment horizontal="left"/>
    </xf>
    <xf numFmtId="0" fontId="29" fillId="0" borderId="0" xfId="1" applyFont="1"/>
    <xf numFmtId="0" fontId="13" fillId="0" borderId="1" xfId="1" applyFont="1" applyBorder="1"/>
    <xf numFmtId="0" fontId="30" fillId="4" borderId="22" xfId="2" applyFont="1" applyFill="1" applyBorder="1" applyAlignment="1">
      <alignment horizontal="left" wrapText="1"/>
    </xf>
    <xf numFmtId="0" fontId="30" fillId="4" borderId="23" xfId="2" applyFont="1" applyFill="1" applyBorder="1" applyAlignment="1">
      <alignment horizontal="left" wrapText="1"/>
    </xf>
    <xf numFmtId="49" fontId="30" fillId="4" borderId="4" xfId="2" applyNumberFormat="1" applyFont="1" applyFill="1" applyBorder="1" applyAlignment="1">
      <alignment horizontal="left" wrapText="1"/>
    </xf>
    <xf numFmtId="0" fontId="30" fillId="4" borderId="3" xfId="2" applyFont="1" applyFill="1" applyBorder="1" applyAlignment="1">
      <alignment horizontal="left" wrapText="1"/>
    </xf>
    <xf numFmtId="0" fontId="30" fillId="4" borderId="5" xfId="2" applyFont="1" applyFill="1" applyBorder="1" applyAlignment="1">
      <alignment horizontal="left" wrapText="1"/>
    </xf>
    <xf numFmtId="0" fontId="11" fillId="3" borderId="6" xfId="2" applyFont="1" applyFill="1" applyBorder="1" applyAlignment="1">
      <alignment horizontal="left" wrapText="1"/>
    </xf>
    <xf numFmtId="0" fontId="11" fillId="3" borderId="7" xfId="2" applyFont="1" applyFill="1" applyBorder="1" applyAlignment="1">
      <alignment horizontal="left" wrapText="1"/>
    </xf>
    <xf numFmtId="49" fontId="28" fillId="4" borderId="4" xfId="2" applyNumberFormat="1" applyFont="1" applyFill="1" applyBorder="1" applyAlignment="1">
      <alignment horizontal="center" wrapText="1"/>
    </xf>
    <xf numFmtId="0" fontId="28" fillId="4" borderId="3" xfId="2" applyFont="1" applyFill="1" applyBorder="1" applyAlignment="1">
      <alignment horizontal="center" wrapText="1"/>
    </xf>
    <xf numFmtId="0" fontId="28" fillId="4" borderId="8" xfId="2" applyFont="1" applyFill="1" applyBorder="1" applyAlignment="1">
      <alignment horizontal="center" wrapText="1"/>
    </xf>
    <xf numFmtId="0" fontId="30" fillId="4" borderId="11" xfId="2" applyFont="1" applyFill="1" applyBorder="1" applyAlignment="1">
      <alignment horizontal="left" wrapText="1"/>
    </xf>
    <xf numFmtId="0" fontId="30" fillId="4" borderId="12" xfId="2" applyFont="1" applyFill="1" applyBorder="1" applyAlignment="1">
      <alignment horizontal="left" wrapText="1"/>
    </xf>
    <xf numFmtId="0" fontId="30" fillId="4" borderId="13" xfId="2" applyFont="1" applyFill="1" applyBorder="1" applyAlignment="1">
      <alignment horizontal="left" wrapText="1"/>
    </xf>
    <xf numFmtId="0" fontId="11" fillId="3" borderId="14" xfId="2" applyFont="1" applyFill="1" applyBorder="1" applyAlignment="1">
      <alignment horizontal="left" wrapText="1"/>
    </xf>
    <xf numFmtId="0" fontId="11" fillId="3" borderId="15" xfId="2" applyFont="1" applyFill="1" applyBorder="1" applyAlignment="1">
      <alignment horizontal="left" wrapText="1"/>
    </xf>
    <xf numFmtId="0" fontId="11" fillId="3" borderId="16" xfId="2" applyFont="1" applyFill="1" applyBorder="1" applyAlignment="1">
      <alignment horizontal="left" wrapText="1"/>
    </xf>
    <xf numFmtId="0" fontId="30" fillId="4" borderId="12" xfId="2" applyFont="1" applyFill="1" applyBorder="1" applyAlignment="1">
      <alignment wrapText="1"/>
    </xf>
    <xf numFmtId="0" fontId="30" fillId="4" borderId="17" xfId="2" applyFont="1" applyFill="1" applyBorder="1" applyAlignment="1">
      <alignment wrapText="1"/>
    </xf>
    <xf numFmtId="0" fontId="30" fillId="4" borderId="18" xfId="2" applyFont="1" applyFill="1" applyBorder="1" applyAlignment="1">
      <alignment horizontal="center" wrapText="1"/>
    </xf>
    <xf numFmtId="0" fontId="30" fillId="4" borderId="19" xfId="2" applyFont="1" applyFill="1" applyBorder="1" applyAlignment="1">
      <alignment horizontal="center" wrapText="1"/>
    </xf>
    <xf numFmtId="0" fontId="30" fillId="4" borderId="19" xfId="2" applyFont="1" applyFill="1" applyBorder="1" applyAlignment="1">
      <alignment horizontal="left" wrapText="1"/>
    </xf>
    <xf numFmtId="0" fontId="28" fillId="3" borderId="20" xfId="2" applyFont="1" applyFill="1" applyBorder="1" applyAlignment="1">
      <alignment horizontal="center" wrapText="1"/>
    </xf>
    <xf numFmtId="0" fontId="28" fillId="3" borderId="19" xfId="2" applyFont="1" applyFill="1" applyBorder="1" applyAlignment="1">
      <alignment horizontal="center" wrapText="1"/>
    </xf>
    <xf numFmtId="0" fontId="28" fillId="3" borderId="21" xfId="2" applyFont="1" applyFill="1" applyBorder="1" applyAlignment="1">
      <alignment horizontal="center" wrapText="1"/>
    </xf>
    <xf numFmtId="16" fontId="7" fillId="7" borderId="1" xfId="0" applyNumberFormat="1" applyFont="1" applyFill="1" applyBorder="1" applyAlignment="1">
      <alignment horizontal="center" vertical="top"/>
    </xf>
    <xf numFmtId="0" fontId="31" fillId="0" borderId="63" xfId="2" applyFont="1" applyBorder="1" applyAlignment="1">
      <alignment horizontal="left" vertical="top" wrapText="1"/>
    </xf>
  </cellXfs>
  <cellStyles count="4">
    <cellStyle name="Hyperlink" xfId="3" builtinId="8"/>
    <cellStyle name="Normal" xfId="0" builtinId="0"/>
    <cellStyle name="Normal_Sheet1" xfId="2" xr:uid="{00000000-0005-0000-0000-000002000000}"/>
    <cellStyle name="Normal_Template_UnitTest Case_v0.9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F29" sqref="F29"/>
    </sheetView>
  </sheetViews>
  <sheetFormatPr defaultRowHeight="15"/>
  <cols>
    <col min="1" max="1" width="8" bestFit="1" customWidth="1"/>
    <col min="2" max="2" width="34.7109375" customWidth="1"/>
    <col min="3" max="3" width="4.28515625" bestFit="1" customWidth="1"/>
    <col min="4" max="4" width="46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20">
        <v>1</v>
      </c>
      <c r="B2" s="121" t="s">
        <v>50</v>
      </c>
      <c r="C2" s="122">
        <v>7</v>
      </c>
      <c r="D2" s="123" t="s">
        <v>49</v>
      </c>
    </row>
    <row r="3" spans="1:4" ht="30">
      <c r="A3" s="120">
        <v>2</v>
      </c>
      <c r="B3" s="121" t="s">
        <v>54</v>
      </c>
      <c r="C3" s="122">
        <v>42</v>
      </c>
      <c r="D3" s="123" t="s">
        <v>51</v>
      </c>
    </row>
    <row r="4" spans="1:4">
      <c r="A4" s="120">
        <v>3</v>
      </c>
      <c r="B4" s="121" t="s">
        <v>52</v>
      </c>
      <c r="C4" s="122">
        <v>40</v>
      </c>
      <c r="D4" s="123" t="s">
        <v>53</v>
      </c>
    </row>
    <row r="5" spans="1:4">
      <c r="A5" s="120">
        <v>4</v>
      </c>
      <c r="B5" s="123" t="s">
        <v>59</v>
      </c>
      <c r="C5" s="124">
        <v>12</v>
      </c>
      <c r="D5" s="123" t="s">
        <v>55</v>
      </c>
    </row>
    <row r="6" spans="1:4">
      <c r="A6" s="120">
        <v>5</v>
      </c>
      <c r="B6" s="123" t="s">
        <v>59</v>
      </c>
      <c r="C6" s="124">
        <v>21</v>
      </c>
      <c r="D6" s="121" t="s">
        <v>58</v>
      </c>
    </row>
    <row r="7" spans="1:4">
      <c r="A7" s="120">
        <v>6</v>
      </c>
      <c r="B7" s="123" t="s">
        <v>56</v>
      </c>
      <c r="C7" s="124">
        <v>24</v>
      </c>
      <c r="D7" s="121" t="s">
        <v>57</v>
      </c>
    </row>
    <row r="9" spans="1:4">
      <c r="A9" s="2" t="s">
        <v>4</v>
      </c>
      <c r="B9" s="3" t="s">
        <v>5</v>
      </c>
      <c r="C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1"/>
  <sheetViews>
    <sheetView tabSelected="1" zoomScale="85" zoomScaleNormal="85" workbookViewId="0">
      <selection activeCell="K48" sqref="K48"/>
    </sheetView>
  </sheetViews>
  <sheetFormatPr defaultColWidth="9" defaultRowHeight="10.5"/>
  <cols>
    <col min="1" max="1" width="8.140625" style="4" customWidth="1"/>
    <col min="2" max="2" width="13.28515625" style="8" customWidth="1"/>
    <col min="3" max="3" width="10.7109375" style="4" customWidth="1"/>
    <col min="4" max="4" width="11.28515625" style="9" customWidth="1"/>
    <col min="5" max="5" width="1.7109375" style="4" hidden="1" customWidth="1"/>
    <col min="6" max="7" width="2.85546875" style="4" bestFit="1" customWidth="1"/>
    <col min="8" max="8" width="2.85546875" style="4" customWidth="1"/>
    <col min="9" max="10" width="2.85546875" style="4" bestFit="1" customWidth="1"/>
    <col min="11" max="19" width="2.85546875" style="4" customWidth="1"/>
    <col min="20" max="20" width="2.85546875" style="4" bestFit="1" customWidth="1"/>
    <col min="21" max="21" width="2.85546875" style="4" customWidth="1"/>
    <col min="22" max="22" width="9" style="5"/>
    <col min="23" max="23" width="24.28515625" style="4" bestFit="1" customWidth="1"/>
    <col min="24" max="24" width="9" style="4"/>
    <col min="25" max="25" width="15.140625" style="4" bestFit="1" customWidth="1"/>
    <col min="26" max="256" width="9" style="4"/>
    <col min="257" max="257" width="8.140625" style="4" customWidth="1"/>
    <col min="258" max="258" width="13.28515625" style="4" customWidth="1"/>
    <col min="259" max="259" width="10.7109375" style="4" customWidth="1"/>
    <col min="260" max="260" width="11.28515625" style="4" customWidth="1"/>
    <col min="261" max="261" width="0" style="4" hidden="1" customWidth="1"/>
    <col min="262" max="263" width="2.85546875" style="4" bestFit="1" customWidth="1"/>
    <col min="264" max="264" width="2.85546875" style="4" customWidth="1"/>
    <col min="265" max="266" width="2.85546875" style="4" bestFit="1" customWidth="1"/>
    <col min="267" max="275" width="2.85546875" style="4" customWidth="1"/>
    <col min="276" max="276" width="2.85546875" style="4" bestFit="1" customWidth="1"/>
    <col min="277" max="277" width="2.85546875" style="4" customWidth="1"/>
    <col min="278" max="512" width="9" style="4"/>
    <col min="513" max="513" width="8.140625" style="4" customWidth="1"/>
    <col min="514" max="514" width="13.28515625" style="4" customWidth="1"/>
    <col min="515" max="515" width="10.7109375" style="4" customWidth="1"/>
    <col min="516" max="516" width="11.28515625" style="4" customWidth="1"/>
    <col min="517" max="517" width="0" style="4" hidden="1" customWidth="1"/>
    <col min="518" max="519" width="2.85546875" style="4" bestFit="1" customWidth="1"/>
    <col min="520" max="520" width="2.85546875" style="4" customWidth="1"/>
    <col min="521" max="522" width="2.85546875" style="4" bestFit="1" customWidth="1"/>
    <col min="523" max="531" width="2.85546875" style="4" customWidth="1"/>
    <col min="532" max="532" width="2.85546875" style="4" bestFit="1" customWidth="1"/>
    <col min="533" max="533" width="2.85546875" style="4" customWidth="1"/>
    <col min="534" max="768" width="9" style="4"/>
    <col min="769" max="769" width="8.140625" style="4" customWidth="1"/>
    <col min="770" max="770" width="13.28515625" style="4" customWidth="1"/>
    <col min="771" max="771" width="10.7109375" style="4" customWidth="1"/>
    <col min="772" max="772" width="11.28515625" style="4" customWidth="1"/>
    <col min="773" max="773" width="0" style="4" hidden="1" customWidth="1"/>
    <col min="774" max="775" width="2.85546875" style="4" bestFit="1" customWidth="1"/>
    <col min="776" max="776" width="2.85546875" style="4" customWidth="1"/>
    <col min="777" max="778" width="2.85546875" style="4" bestFit="1" customWidth="1"/>
    <col min="779" max="787" width="2.85546875" style="4" customWidth="1"/>
    <col min="788" max="788" width="2.85546875" style="4" bestFit="1" customWidth="1"/>
    <col min="789" max="789" width="2.85546875" style="4" customWidth="1"/>
    <col min="790" max="1024" width="9" style="4"/>
    <col min="1025" max="1025" width="8.140625" style="4" customWidth="1"/>
    <col min="1026" max="1026" width="13.28515625" style="4" customWidth="1"/>
    <col min="1027" max="1027" width="10.7109375" style="4" customWidth="1"/>
    <col min="1028" max="1028" width="11.28515625" style="4" customWidth="1"/>
    <col min="1029" max="1029" width="0" style="4" hidden="1" customWidth="1"/>
    <col min="1030" max="1031" width="2.85546875" style="4" bestFit="1" customWidth="1"/>
    <col min="1032" max="1032" width="2.85546875" style="4" customWidth="1"/>
    <col min="1033" max="1034" width="2.85546875" style="4" bestFit="1" customWidth="1"/>
    <col min="1035" max="1043" width="2.85546875" style="4" customWidth="1"/>
    <col min="1044" max="1044" width="2.85546875" style="4" bestFit="1" customWidth="1"/>
    <col min="1045" max="1045" width="2.85546875" style="4" customWidth="1"/>
    <col min="1046" max="1280" width="9" style="4"/>
    <col min="1281" max="1281" width="8.140625" style="4" customWidth="1"/>
    <col min="1282" max="1282" width="13.28515625" style="4" customWidth="1"/>
    <col min="1283" max="1283" width="10.7109375" style="4" customWidth="1"/>
    <col min="1284" max="1284" width="11.28515625" style="4" customWidth="1"/>
    <col min="1285" max="1285" width="0" style="4" hidden="1" customWidth="1"/>
    <col min="1286" max="1287" width="2.85546875" style="4" bestFit="1" customWidth="1"/>
    <col min="1288" max="1288" width="2.85546875" style="4" customWidth="1"/>
    <col min="1289" max="1290" width="2.85546875" style="4" bestFit="1" customWidth="1"/>
    <col min="1291" max="1299" width="2.85546875" style="4" customWidth="1"/>
    <col min="1300" max="1300" width="2.85546875" style="4" bestFit="1" customWidth="1"/>
    <col min="1301" max="1301" width="2.85546875" style="4" customWidth="1"/>
    <col min="1302" max="1536" width="9" style="4"/>
    <col min="1537" max="1537" width="8.140625" style="4" customWidth="1"/>
    <col min="1538" max="1538" width="13.28515625" style="4" customWidth="1"/>
    <col min="1539" max="1539" width="10.7109375" style="4" customWidth="1"/>
    <col min="1540" max="1540" width="11.28515625" style="4" customWidth="1"/>
    <col min="1541" max="1541" width="0" style="4" hidden="1" customWidth="1"/>
    <col min="1542" max="1543" width="2.85546875" style="4" bestFit="1" customWidth="1"/>
    <col min="1544" max="1544" width="2.85546875" style="4" customWidth="1"/>
    <col min="1545" max="1546" width="2.85546875" style="4" bestFit="1" customWidth="1"/>
    <col min="1547" max="1555" width="2.85546875" style="4" customWidth="1"/>
    <col min="1556" max="1556" width="2.85546875" style="4" bestFit="1" customWidth="1"/>
    <col min="1557" max="1557" width="2.85546875" style="4" customWidth="1"/>
    <col min="1558" max="1792" width="9" style="4"/>
    <col min="1793" max="1793" width="8.140625" style="4" customWidth="1"/>
    <col min="1794" max="1794" width="13.28515625" style="4" customWidth="1"/>
    <col min="1795" max="1795" width="10.7109375" style="4" customWidth="1"/>
    <col min="1796" max="1796" width="11.28515625" style="4" customWidth="1"/>
    <col min="1797" max="1797" width="0" style="4" hidden="1" customWidth="1"/>
    <col min="1798" max="1799" width="2.85546875" style="4" bestFit="1" customWidth="1"/>
    <col min="1800" max="1800" width="2.85546875" style="4" customWidth="1"/>
    <col min="1801" max="1802" width="2.85546875" style="4" bestFit="1" customWidth="1"/>
    <col min="1803" max="1811" width="2.85546875" style="4" customWidth="1"/>
    <col min="1812" max="1812" width="2.85546875" style="4" bestFit="1" customWidth="1"/>
    <col min="1813" max="1813" width="2.85546875" style="4" customWidth="1"/>
    <col min="1814" max="2048" width="9" style="4"/>
    <col min="2049" max="2049" width="8.140625" style="4" customWidth="1"/>
    <col min="2050" max="2050" width="13.28515625" style="4" customWidth="1"/>
    <col min="2051" max="2051" width="10.7109375" style="4" customWidth="1"/>
    <col min="2052" max="2052" width="11.28515625" style="4" customWidth="1"/>
    <col min="2053" max="2053" width="0" style="4" hidden="1" customWidth="1"/>
    <col min="2054" max="2055" width="2.85546875" style="4" bestFit="1" customWidth="1"/>
    <col min="2056" max="2056" width="2.85546875" style="4" customWidth="1"/>
    <col min="2057" max="2058" width="2.85546875" style="4" bestFit="1" customWidth="1"/>
    <col min="2059" max="2067" width="2.85546875" style="4" customWidth="1"/>
    <col min="2068" max="2068" width="2.85546875" style="4" bestFit="1" customWidth="1"/>
    <col min="2069" max="2069" width="2.85546875" style="4" customWidth="1"/>
    <col min="2070" max="2304" width="9" style="4"/>
    <col min="2305" max="2305" width="8.140625" style="4" customWidth="1"/>
    <col min="2306" max="2306" width="13.28515625" style="4" customWidth="1"/>
    <col min="2307" max="2307" width="10.7109375" style="4" customWidth="1"/>
    <col min="2308" max="2308" width="11.28515625" style="4" customWidth="1"/>
    <col min="2309" max="2309" width="0" style="4" hidden="1" customWidth="1"/>
    <col min="2310" max="2311" width="2.85546875" style="4" bestFit="1" customWidth="1"/>
    <col min="2312" max="2312" width="2.85546875" style="4" customWidth="1"/>
    <col min="2313" max="2314" width="2.85546875" style="4" bestFit="1" customWidth="1"/>
    <col min="2315" max="2323" width="2.85546875" style="4" customWidth="1"/>
    <col min="2324" max="2324" width="2.85546875" style="4" bestFit="1" customWidth="1"/>
    <col min="2325" max="2325" width="2.85546875" style="4" customWidth="1"/>
    <col min="2326" max="2560" width="9" style="4"/>
    <col min="2561" max="2561" width="8.140625" style="4" customWidth="1"/>
    <col min="2562" max="2562" width="13.28515625" style="4" customWidth="1"/>
    <col min="2563" max="2563" width="10.7109375" style="4" customWidth="1"/>
    <col min="2564" max="2564" width="11.28515625" style="4" customWidth="1"/>
    <col min="2565" max="2565" width="0" style="4" hidden="1" customWidth="1"/>
    <col min="2566" max="2567" width="2.85546875" style="4" bestFit="1" customWidth="1"/>
    <col min="2568" max="2568" width="2.85546875" style="4" customWidth="1"/>
    <col min="2569" max="2570" width="2.85546875" style="4" bestFit="1" customWidth="1"/>
    <col min="2571" max="2579" width="2.85546875" style="4" customWidth="1"/>
    <col min="2580" max="2580" width="2.85546875" style="4" bestFit="1" customWidth="1"/>
    <col min="2581" max="2581" width="2.85546875" style="4" customWidth="1"/>
    <col min="2582" max="2816" width="9" style="4"/>
    <col min="2817" max="2817" width="8.140625" style="4" customWidth="1"/>
    <col min="2818" max="2818" width="13.28515625" style="4" customWidth="1"/>
    <col min="2819" max="2819" width="10.7109375" style="4" customWidth="1"/>
    <col min="2820" max="2820" width="11.28515625" style="4" customWidth="1"/>
    <col min="2821" max="2821" width="0" style="4" hidden="1" customWidth="1"/>
    <col min="2822" max="2823" width="2.85546875" style="4" bestFit="1" customWidth="1"/>
    <col min="2824" max="2824" width="2.85546875" style="4" customWidth="1"/>
    <col min="2825" max="2826" width="2.85546875" style="4" bestFit="1" customWidth="1"/>
    <col min="2827" max="2835" width="2.85546875" style="4" customWidth="1"/>
    <col min="2836" max="2836" width="2.85546875" style="4" bestFit="1" customWidth="1"/>
    <col min="2837" max="2837" width="2.85546875" style="4" customWidth="1"/>
    <col min="2838" max="3072" width="9" style="4"/>
    <col min="3073" max="3073" width="8.140625" style="4" customWidth="1"/>
    <col min="3074" max="3074" width="13.28515625" style="4" customWidth="1"/>
    <col min="3075" max="3075" width="10.7109375" style="4" customWidth="1"/>
    <col min="3076" max="3076" width="11.28515625" style="4" customWidth="1"/>
    <col min="3077" max="3077" width="0" style="4" hidden="1" customWidth="1"/>
    <col min="3078" max="3079" width="2.85546875" style="4" bestFit="1" customWidth="1"/>
    <col min="3080" max="3080" width="2.85546875" style="4" customWidth="1"/>
    <col min="3081" max="3082" width="2.85546875" style="4" bestFit="1" customWidth="1"/>
    <col min="3083" max="3091" width="2.85546875" style="4" customWidth="1"/>
    <col min="3092" max="3092" width="2.85546875" style="4" bestFit="1" customWidth="1"/>
    <col min="3093" max="3093" width="2.85546875" style="4" customWidth="1"/>
    <col min="3094" max="3328" width="9" style="4"/>
    <col min="3329" max="3329" width="8.140625" style="4" customWidth="1"/>
    <col min="3330" max="3330" width="13.28515625" style="4" customWidth="1"/>
    <col min="3331" max="3331" width="10.7109375" style="4" customWidth="1"/>
    <col min="3332" max="3332" width="11.28515625" style="4" customWidth="1"/>
    <col min="3333" max="3333" width="0" style="4" hidden="1" customWidth="1"/>
    <col min="3334" max="3335" width="2.85546875" style="4" bestFit="1" customWidth="1"/>
    <col min="3336" max="3336" width="2.85546875" style="4" customWidth="1"/>
    <col min="3337" max="3338" width="2.85546875" style="4" bestFit="1" customWidth="1"/>
    <col min="3339" max="3347" width="2.85546875" style="4" customWidth="1"/>
    <col min="3348" max="3348" width="2.85546875" style="4" bestFit="1" customWidth="1"/>
    <col min="3349" max="3349" width="2.85546875" style="4" customWidth="1"/>
    <col min="3350" max="3584" width="9" style="4"/>
    <col min="3585" max="3585" width="8.140625" style="4" customWidth="1"/>
    <col min="3586" max="3586" width="13.28515625" style="4" customWidth="1"/>
    <col min="3587" max="3587" width="10.7109375" style="4" customWidth="1"/>
    <col min="3588" max="3588" width="11.28515625" style="4" customWidth="1"/>
    <col min="3589" max="3589" width="0" style="4" hidden="1" customWidth="1"/>
    <col min="3590" max="3591" width="2.85546875" style="4" bestFit="1" customWidth="1"/>
    <col min="3592" max="3592" width="2.85546875" style="4" customWidth="1"/>
    <col min="3593" max="3594" width="2.85546875" style="4" bestFit="1" customWidth="1"/>
    <col min="3595" max="3603" width="2.85546875" style="4" customWidth="1"/>
    <col min="3604" max="3604" width="2.85546875" style="4" bestFit="1" customWidth="1"/>
    <col min="3605" max="3605" width="2.85546875" style="4" customWidth="1"/>
    <col min="3606" max="3840" width="9" style="4"/>
    <col min="3841" max="3841" width="8.140625" style="4" customWidth="1"/>
    <col min="3842" max="3842" width="13.28515625" style="4" customWidth="1"/>
    <col min="3843" max="3843" width="10.7109375" style="4" customWidth="1"/>
    <col min="3844" max="3844" width="11.28515625" style="4" customWidth="1"/>
    <col min="3845" max="3845" width="0" style="4" hidden="1" customWidth="1"/>
    <col min="3846" max="3847" width="2.85546875" style="4" bestFit="1" customWidth="1"/>
    <col min="3848" max="3848" width="2.85546875" style="4" customWidth="1"/>
    <col min="3849" max="3850" width="2.85546875" style="4" bestFit="1" customWidth="1"/>
    <col min="3851" max="3859" width="2.85546875" style="4" customWidth="1"/>
    <col min="3860" max="3860" width="2.85546875" style="4" bestFit="1" customWidth="1"/>
    <col min="3861" max="3861" width="2.85546875" style="4" customWidth="1"/>
    <col min="3862" max="4096" width="9" style="4"/>
    <col min="4097" max="4097" width="8.140625" style="4" customWidth="1"/>
    <col min="4098" max="4098" width="13.28515625" style="4" customWidth="1"/>
    <col min="4099" max="4099" width="10.7109375" style="4" customWidth="1"/>
    <col min="4100" max="4100" width="11.28515625" style="4" customWidth="1"/>
    <col min="4101" max="4101" width="0" style="4" hidden="1" customWidth="1"/>
    <col min="4102" max="4103" width="2.85546875" style="4" bestFit="1" customWidth="1"/>
    <col min="4104" max="4104" width="2.85546875" style="4" customWidth="1"/>
    <col min="4105" max="4106" width="2.85546875" style="4" bestFit="1" customWidth="1"/>
    <col min="4107" max="4115" width="2.85546875" style="4" customWidth="1"/>
    <col min="4116" max="4116" width="2.85546875" style="4" bestFit="1" customWidth="1"/>
    <col min="4117" max="4117" width="2.85546875" style="4" customWidth="1"/>
    <col min="4118" max="4352" width="9" style="4"/>
    <col min="4353" max="4353" width="8.140625" style="4" customWidth="1"/>
    <col min="4354" max="4354" width="13.28515625" style="4" customWidth="1"/>
    <col min="4355" max="4355" width="10.7109375" style="4" customWidth="1"/>
    <col min="4356" max="4356" width="11.28515625" style="4" customWidth="1"/>
    <col min="4357" max="4357" width="0" style="4" hidden="1" customWidth="1"/>
    <col min="4358" max="4359" width="2.85546875" style="4" bestFit="1" customWidth="1"/>
    <col min="4360" max="4360" width="2.85546875" style="4" customWidth="1"/>
    <col min="4361" max="4362" width="2.85546875" style="4" bestFit="1" customWidth="1"/>
    <col min="4363" max="4371" width="2.85546875" style="4" customWidth="1"/>
    <col min="4372" max="4372" width="2.85546875" style="4" bestFit="1" customWidth="1"/>
    <col min="4373" max="4373" width="2.85546875" style="4" customWidth="1"/>
    <col min="4374" max="4608" width="9" style="4"/>
    <col min="4609" max="4609" width="8.140625" style="4" customWidth="1"/>
    <col min="4610" max="4610" width="13.28515625" style="4" customWidth="1"/>
    <col min="4611" max="4611" width="10.7109375" style="4" customWidth="1"/>
    <col min="4612" max="4612" width="11.28515625" style="4" customWidth="1"/>
    <col min="4613" max="4613" width="0" style="4" hidden="1" customWidth="1"/>
    <col min="4614" max="4615" width="2.85546875" style="4" bestFit="1" customWidth="1"/>
    <col min="4616" max="4616" width="2.85546875" style="4" customWidth="1"/>
    <col min="4617" max="4618" width="2.85546875" style="4" bestFit="1" customWidth="1"/>
    <col min="4619" max="4627" width="2.85546875" style="4" customWidth="1"/>
    <col min="4628" max="4628" width="2.85546875" style="4" bestFit="1" customWidth="1"/>
    <col min="4629" max="4629" width="2.85546875" style="4" customWidth="1"/>
    <col min="4630" max="4864" width="9" style="4"/>
    <col min="4865" max="4865" width="8.140625" style="4" customWidth="1"/>
    <col min="4866" max="4866" width="13.28515625" style="4" customWidth="1"/>
    <col min="4867" max="4867" width="10.7109375" style="4" customWidth="1"/>
    <col min="4868" max="4868" width="11.28515625" style="4" customWidth="1"/>
    <col min="4869" max="4869" width="0" style="4" hidden="1" customWidth="1"/>
    <col min="4870" max="4871" width="2.85546875" style="4" bestFit="1" customWidth="1"/>
    <col min="4872" max="4872" width="2.85546875" style="4" customWidth="1"/>
    <col min="4873" max="4874" width="2.85546875" style="4" bestFit="1" customWidth="1"/>
    <col min="4875" max="4883" width="2.85546875" style="4" customWidth="1"/>
    <col min="4884" max="4884" width="2.85546875" style="4" bestFit="1" customWidth="1"/>
    <col min="4885" max="4885" width="2.85546875" style="4" customWidth="1"/>
    <col min="4886" max="5120" width="9" style="4"/>
    <col min="5121" max="5121" width="8.140625" style="4" customWidth="1"/>
    <col min="5122" max="5122" width="13.28515625" style="4" customWidth="1"/>
    <col min="5123" max="5123" width="10.7109375" style="4" customWidth="1"/>
    <col min="5124" max="5124" width="11.28515625" style="4" customWidth="1"/>
    <col min="5125" max="5125" width="0" style="4" hidden="1" customWidth="1"/>
    <col min="5126" max="5127" width="2.85546875" style="4" bestFit="1" customWidth="1"/>
    <col min="5128" max="5128" width="2.85546875" style="4" customWidth="1"/>
    <col min="5129" max="5130" width="2.85546875" style="4" bestFit="1" customWidth="1"/>
    <col min="5131" max="5139" width="2.85546875" style="4" customWidth="1"/>
    <col min="5140" max="5140" width="2.85546875" style="4" bestFit="1" customWidth="1"/>
    <col min="5141" max="5141" width="2.85546875" style="4" customWidth="1"/>
    <col min="5142" max="5376" width="9" style="4"/>
    <col min="5377" max="5377" width="8.140625" style="4" customWidth="1"/>
    <col min="5378" max="5378" width="13.28515625" style="4" customWidth="1"/>
    <col min="5379" max="5379" width="10.7109375" style="4" customWidth="1"/>
    <col min="5380" max="5380" width="11.28515625" style="4" customWidth="1"/>
    <col min="5381" max="5381" width="0" style="4" hidden="1" customWidth="1"/>
    <col min="5382" max="5383" width="2.85546875" style="4" bestFit="1" customWidth="1"/>
    <col min="5384" max="5384" width="2.85546875" style="4" customWidth="1"/>
    <col min="5385" max="5386" width="2.85546875" style="4" bestFit="1" customWidth="1"/>
    <col min="5387" max="5395" width="2.85546875" style="4" customWidth="1"/>
    <col min="5396" max="5396" width="2.85546875" style="4" bestFit="1" customWidth="1"/>
    <col min="5397" max="5397" width="2.85546875" style="4" customWidth="1"/>
    <col min="5398" max="5632" width="9" style="4"/>
    <col min="5633" max="5633" width="8.140625" style="4" customWidth="1"/>
    <col min="5634" max="5634" width="13.28515625" style="4" customWidth="1"/>
    <col min="5635" max="5635" width="10.7109375" style="4" customWidth="1"/>
    <col min="5636" max="5636" width="11.28515625" style="4" customWidth="1"/>
    <col min="5637" max="5637" width="0" style="4" hidden="1" customWidth="1"/>
    <col min="5638" max="5639" width="2.85546875" style="4" bestFit="1" customWidth="1"/>
    <col min="5640" max="5640" width="2.85546875" style="4" customWidth="1"/>
    <col min="5641" max="5642" width="2.85546875" style="4" bestFit="1" customWidth="1"/>
    <col min="5643" max="5651" width="2.85546875" style="4" customWidth="1"/>
    <col min="5652" max="5652" width="2.85546875" style="4" bestFit="1" customWidth="1"/>
    <col min="5653" max="5653" width="2.85546875" style="4" customWidth="1"/>
    <col min="5654" max="5888" width="9" style="4"/>
    <col min="5889" max="5889" width="8.140625" style="4" customWidth="1"/>
    <col min="5890" max="5890" width="13.28515625" style="4" customWidth="1"/>
    <col min="5891" max="5891" width="10.7109375" style="4" customWidth="1"/>
    <col min="5892" max="5892" width="11.28515625" style="4" customWidth="1"/>
    <col min="5893" max="5893" width="0" style="4" hidden="1" customWidth="1"/>
    <col min="5894" max="5895" width="2.85546875" style="4" bestFit="1" customWidth="1"/>
    <col min="5896" max="5896" width="2.85546875" style="4" customWidth="1"/>
    <col min="5897" max="5898" width="2.85546875" style="4" bestFit="1" customWidth="1"/>
    <col min="5899" max="5907" width="2.85546875" style="4" customWidth="1"/>
    <col min="5908" max="5908" width="2.85546875" style="4" bestFit="1" customWidth="1"/>
    <col min="5909" max="5909" width="2.85546875" style="4" customWidth="1"/>
    <col min="5910" max="6144" width="9" style="4"/>
    <col min="6145" max="6145" width="8.140625" style="4" customWidth="1"/>
    <col min="6146" max="6146" width="13.28515625" style="4" customWidth="1"/>
    <col min="6147" max="6147" width="10.7109375" style="4" customWidth="1"/>
    <col min="6148" max="6148" width="11.28515625" style="4" customWidth="1"/>
    <col min="6149" max="6149" width="0" style="4" hidden="1" customWidth="1"/>
    <col min="6150" max="6151" width="2.85546875" style="4" bestFit="1" customWidth="1"/>
    <col min="6152" max="6152" width="2.85546875" style="4" customWidth="1"/>
    <col min="6153" max="6154" width="2.85546875" style="4" bestFit="1" customWidth="1"/>
    <col min="6155" max="6163" width="2.85546875" style="4" customWidth="1"/>
    <col min="6164" max="6164" width="2.85546875" style="4" bestFit="1" customWidth="1"/>
    <col min="6165" max="6165" width="2.85546875" style="4" customWidth="1"/>
    <col min="6166" max="6400" width="9" style="4"/>
    <col min="6401" max="6401" width="8.140625" style="4" customWidth="1"/>
    <col min="6402" max="6402" width="13.28515625" style="4" customWidth="1"/>
    <col min="6403" max="6403" width="10.7109375" style="4" customWidth="1"/>
    <col min="6404" max="6404" width="11.28515625" style="4" customWidth="1"/>
    <col min="6405" max="6405" width="0" style="4" hidden="1" customWidth="1"/>
    <col min="6406" max="6407" width="2.85546875" style="4" bestFit="1" customWidth="1"/>
    <col min="6408" max="6408" width="2.85546875" style="4" customWidth="1"/>
    <col min="6409" max="6410" width="2.85546875" style="4" bestFit="1" customWidth="1"/>
    <col min="6411" max="6419" width="2.85546875" style="4" customWidth="1"/>
    <col min="6420" max="6420" width="2.85546875" style="4" bestFit="1" customWidth="1"/>
    <col min="6421" max="6421" width="2.85546875" style="4" customWidth="1"/>
    <col min="6422" max="6656" width="9" style="4"/>
    <col min="6657" max="6657" width="8.140625" style="4" customWidth="1"/>
    <col min="6658" max="6658" width="13.28515625" style="4" customWidth="1"/>
    <col min="6659" max="6659" width="10.7109375" style="4" customWidth="1"/>
    <col min="6660" max="6660" width="11.28515625" style="4" customWidth="1"/>
    <col min="6661" max="6661" width="0" style="4" hidden="1" customWidth="1"/>
    <col min="6662" max="6663" width="2.85546875" style="4" bestFit="1" customWidth="1"/>
    <col min="6664" max="6664" width="2.85546875" style="4" customWidth="1"/>
    <col min="6665" max="6666" width="2.85546875" style="4" bestFit="1" customWidth="1"/>
    <col min="6667" max="6675" width="2.85546875" style="4" customWidth="1"/>
    <col min="6676" max="6676" width="2.85546875" style="4" bestFit="1" customWidth="1"/>
    <col min="6677" max="6677" width="2.85546875" style="4" customWidth="1"/>
    <col min="6678" max="6912" width="9" style="4"/>
    <col min="6913" max="6913" width="8.140625" style="4" customWidth="1"/>
    <col min="6914" max="6914" width="13.28515625" style="4" customWidth="1"/>
    <col min="6915" max="6915" width="10.7109375" style="4" customWidth="1"/>
    <col min="6916" max="6916" width="11.28515625" style="4" customWidth="1"/>
    <col min="6917" max="6917" width="0" style="4" hidden="1" customWidth="1"/>
    <col min="6918" max="6919" width="2.85546875" style="4" bestFit="1" customWidth="1"/>
    <col min="6920" max="6920" width="2.85546875" style="4" customWidth="1"/>
    <col min="6921" max="6922" width="2.85546875" style="4" bestFit="1" customWidth="1"/>
    <col min="6923" max="6931" width="2.85546875" style="4" customWidth="1"/>
    <col min="6932" max="6932" width="2.85546875" style="4" bestFit="1" customWidth="1"/>
    <col min="6933" max="6933" width="2.85546875" style="4" customWidth="1"/>
    <col min="6934" max="7168" width="9" style="4"/>
    <col min="7169" max="7169" width="8.140625" style="4" customWidth="1"/>
    <col min="7170" max="7170" width="13.28515625" style="4" customWidth="1"/>
    <col min="7171" max="7171" width="10.7109375" style="4" customWidth="1"/>
    <col min="7172" max="7172" width="11.28515625" style="4" customWidth="1"/>
    <col min="7173" max="7173" width="0" style="4" hidden="1" customWidth="1"/>
    <col min="7174" max="7175" width="2.85546875" style="4" bestFit="1" customWidth="1"/>
    <col min="7176" max="7176" width="2.85546875" style="4" customWidth="1"/>
    <col min="7177" max="7178" width="2.85546875" style="4" bestFit="1" customWidth="1"/>
    <col min="7179" max="7187" width="2.85546875" style="4" customWidth="1"/>
    <col min="7188" max="7188" width="2.85546875" style="4" bestFit="1" customWidth="1"/>
    <col min="7189" max="7189" width="2.85546875" style="4" customWidth="1"/>
    <col min="7190" max="7424" width="9" style="4"/>
    <col min="7425" max="7425" width="8.140625" style="4" customWidth="1"/>
    <col min="7426" max="7426" width="13.28515625" style="4" customWidth="1"/>
    <col min="7427" max="7427" width="10.7109375" style="4" customWidth="1"/>
    <col min="7428" max="7428" width="11.28515625" style="4" customWidth="1"/>
    <col min="7429" max="7429" width="0" style="4" hidden="1" customWidth="1"/>
    <col min="7430" max="7431" width="2.85546875" style="4" bestFit="1" customWidth="1"/>
    <col min="7432" max="7432" width="2.85546875" style="4" customWidth="1"/>
    <col min="7433" max="7434" width="2.85546875" style="4" bestFit="1" customWidth="1"/>
    <col min="7435" max="7443" width="2.85546875" style="4" customWidth="1"/>
    <col min="7444" max="7444" width="2.85546875" style="4" bestFit="1" customWidth="1"/>
    <col min="7445" max="7445" width="2.85546875" style="4" customWidth="1"/>
    <col min="7446" max="7680" width="9" style="4"/>
    <col min="7681" max="7681" width="8.140625" style="4" customWidth="1"/>
    <col min="7682" max="7682" width="13.28515625" style="4" customWidth="1"/>
    <col min="7683" max="7683" width="10.7109375" style="4" customWidth="1"/>
    <col min="7684" max="7684" width="11.28515625" style="4" customWidth="1"/>
    <col min="7685" max="7685" width="0" style="4" hidden="1" customWidth="1"/>
    <col min="7686" max="7687" width="2.85546875" style="4" bestFit="1" customWidth="1"/>
    <col min="7688" max="7688" width="2.85546875" style="4" customWidth="1"/>
    <col min="7689" max="7690" width="2.85546875" style="4" bestFit="1" customWidth="1"/>
    <col min="7691" max="7699" width="2.85546875" style="4" customWidth="1"/>
    <col min="7700" max="7700" width="2.85546875" style="4" bestFit="1" customWidth="1"/>
    <col min="7701" max="7701" width="2.85546875" style="4" customWidth="1"/>
    <col min="7702" max="7936" width="9" style="4"/>
    <col min="7937" max="7937" width="8.140625" style="4" customWidth="1"/>
    <col min="7938" max="7938" width="13.28515625" style="4" customWidth="1"/>
    <col min="7939" max="7939" width="10.7109375" style="4" customWidth="1"/>
    <col min="7940" max="7940" width="11.28515625" style="4" customWidth="1"/>
    <col min="7941" max="7941" width="0" style="4" hidden="1" customWidth="1"/>
    <col min="7942" max="7943" width="2.85546875" style="4" bestFit="1" customWidth="1"/>
    <col min="7944" max="7944" width="2.85546875" style="4" customWidth="1"/>
    <col min="7945" max="7946" width="2.85546875" style="4" bestFit="1" customWidth="1"/>
    <col min="7947" max="7955" width="2.85546875" style="4" customWidth="1"/>
    <col min="7956" max="7956" width="2.85546875" style="4" bestFit="1" customWidth="1"/>
    <col min="7957" max="7957" width="2.85546875" style="4" customWidth="1"/>
    <col min="7958" max="8192" width="9" style="4"/>
    <col min="8193" max="8193" width="8.140625" style="4" customWidth="1"/>
    <col min="8194" max="8194" width="13.28515625" style="4" customWidth="1"/>
    <col min="8195" max="8195" width="10.7109375" style="4" customWidth="1"/>
    <col min="8196" max="8196" width="11.28515625" style="4" customWidth="1"/>
    <col min="8197" max="8197" width="0" style="4" hidden="1" customWidth="1"/>
    <col min="8198" max="8199" width="2.85546875" style="4" bestFit="1" customWidth="1"/>
    <col min="8200" max="8200" width="2.85546875" style="4" customWidth="1"/>
    <col min="8201" max="8202" width="2.85546875" style="4" bestFit="1" customWidth="1"/>
    <col min="8203" max="8211" width="2.85546875" style="4" customWidth="1"/>
    <col min="8212" max="8212" width="2.85546875" style="4" bestFit="1" customWidth="1"/>
    <col min="8213" max="8213" width="2.85546875" style="4" customWidth="1"/>
    <col min="8214" max="8448" width="9" style="4"/>
    <col min="8449" max="8449" width="8.140625" style="4" customWidth="1"/>
    <col min="8450" max="8450" width="13.28515625" style="4" customWidth="1"/>
    <col min="8451" max="8451" width="10.7109375" style="4" customWidth="1"/>
    <col min="8452" max="8452" width="11.28515625" style="4" customWidth="1"/>
    <col min="8453" max="8453" width="0" style="4" hidden="1" customWidth="1"/>
    <col min="8454" max="8455" width="2.85546875" style="4" bestFit="1" customWidth="1"/>
    <col min="8456" max="8456" width="2.85546875" style="4" customWidth="1"/>
    <col min="8457" max="8458" width="2.85546875" style="4" bestFit="1" customWidth="1"/>
    <col min="8459" max="8467" width="2.85546875" style="4" customWidth="1"/>
    <col min="8468" max="8468" width="2.85546875" style="4" bestFit="1" customWidth="1"/>
    <col min="8469" max="8469" width="2.85546875" style="4" customWidth="1"/>
    <col min="8470" max="8704" width="9" style="4"/>
    <col min="8705" max="8705" width="8.140625" style="4" customWidth="1"/>
    <col min="8706" max="8706" width="13.28515625" style="4" customWidth="1"/>
    <col min="8707" max="8707" width="10.7109375" style="4" customWidth="1"/>
    <col min="8708" max="8708" width="11.28515625" style="4" customWidth="1"/>
    <col min="8709" max="8709" width="0" style="4" hidden="1" customWidth="1"/>
    <col min="8710" max="8711" width="2.85546875" style="4" bestFit="1" customWidth="1"/>
    <col min="8712" max="8712" width="2.85546875" style="4" customWidth="1"/>
    <col min="8713" max="8714" width="2.85546875" style="4" bestFit="1" customWidth="1"/>
    <col min="8715" max="8723" width="2.85546875" style="4" customWidth="1"/>
    <col min="8724" max="8724" width="2.85546875" style="4" bestFit="1" customWidth="1"/>
    <col min="8725" max="8725" width="2.85546875" style="4" customWidth="1"/>
    <col min="8726" max="8960" width="9" style="4"/>
    <col min="8961" max="8961" width="8.140625" style="4" customWidth="1"/>
    <col min="8962" max="8962" width="13.28515625" style="4" customWidth="1"/>
    <col min="8963" max="8963" width="10.7109375" style="4" customWidth="1"/>
    <col min="8964" max="8964" width="11.28515625" style="4" customWidth="1"/>
    <col min="8965" max="8965" width="0" style="4" hidden="1" customWidth="1"/>
    <col min="8966" max="8967" width="2.85546875" style="4" bestFit="1" customWidth="1"/>
    <col min="8968" max="8968" width="2.85546875" style="4" customWidth="1"/>
    <col min="8969" max="8970" width="2.85546875" style="4" bestFit="1" customWidth="1"/>
    <col min="8971" max="8979" width="2.85546875" style="4" customWidth="1"/>
    <col min="8980" max="8980" width="2.85546875" style="4" bestFit="1" customWidth="1"/>
    <col min="8981" max="8981" width="2.85546875" style="4" customWidth="1"/>
    <col min="8982" max="9216" width="9" style="4"/>
    <col min="9217" max="9217" width="8.140625" style="4" customWidth="1"/>
    <col min="9218" max="9218" width="13.28515625" style="4" customWidth="1"/>
    <col min="9219" max="9219" width="10.7109375" style="4" customWidth="1"/>
    <col min="9220" max="9220" width="11.28515625" style="4" customWidth="1"/>
    <col min="9221" max="9221" width="0" style="4" hidden="1" customWidth="1"/>
    <col min="9222" max="9223" width="2.85546875" style="4" bestFit="1" customWidth="1"/>
    <col min="9224" max="9224" width="2.85546875" style="4" customWidth="1"/>
    <col min="9225" max="9226" width="2.85546875" style="4" bestFit="1" customWidth="1"/>
    <col min="9227" max="9235" width="2.85546875" style="4" customWidth="1"/>
    <col min="9236" max="9236" width="2.85546875" style="4" bestFit="1" customWidth="1"/>
    <col min="9237" max="9237" width="2.85546875" style="4" customWidth="1"/>
    <col min="9238" max="9472" width="9" style="4"/>
    <col min="9473" max="9473" width="8.140625" style="4" customWidth="1"/>
    <col min="9474" max="9474" width="13.28515625" style="4" customWidth="1"/>
    <col min="9475" max="9475" width="10.7109375" style="4" customWidth="1"/>
    <col min="9476" max="9476" width="11.28515625" style="4" customWidth="1"/>
    <col min="9477" max="9477" width="0" style="4" hidden="1" customWidth="1"/>
    <col min="9478" max="9479" width="2.85546875" style="4" bestFit="1" customWidth="1"/>
    <col min="9480" max="9480" width="2.85546875" style="4" customWidth="1"/>
    <col min="9481" max="9482" width="2.85546875" style="4" bestFit="1" customWidth="1"/>
    <col min="9483" max="9491" width="2.85546875" style="4" customWidth="1"/>
    <col min="9492" max="9492" width="2.85546875" style="4" bestFit="1" customWidth="1"/>
    <col min="9493" max="9493" width="2.85546875" style="4" customWidth="1"/>
    <col min="9494" max="9728" width="9" style="4"/>
    <col min="9729" max="9729" width="8.140625" style="4" customWidth="1"/>
    <col min="9730" max="9730" width="13.28515625" style="4" customWidth="1"/>
    <col min="9731" max="9731" width="10.7109375" style="4" customWidth="1"/>
    <col min="9732" max="9732" width="11.28515625" style="4" customWidth="1"/>
    <col min="9733" max="9733" width="0" style="4" hidden="1" customWidth="1"/>
    <col min="9734" max="9735" width="2.85546875" style="4" bestFit="1" customWidth="1"/>
    <col min="9736" max="9736" width="2.85546875" style="4" customWidth="1"/>
    <col min="9737" max="9738" width="2.85546875" style="4" bestFit="1" customWidth="1"/>
    <col min="9739" max="9747" width="2.85546875" style="4" customWidth="1"/>
    <col min="9748" max="9748" width="2.85546875" style="4" bestFit="1" customWidth="1"/>
    <col min="9749" max="9749" width="2.85546875" style="4" customWidth="1"/>
    <col min="9750" max="9984" width="9" style="4"/>
    <col min="9985" max="9985" width="8.140625" style="4" customWidth="1"/>
    <col min="9986" max="9986" width="13.28515625" style="4" customWidth="1"/>
    <col min="9987" max="9987" width="10.7109375" style="4" customWidth="1"/>
    <col min="9988" max="9988" width="11.28515625" style="4" customWidth="1"/>
    <col min="9989" max="9989" width="0" style="4" hidden="1" customWidth="1"/>
    <col min="9990" max="9991" width="2.85546875" style="4" bestFit="1" customWidth="1"/>
    <col min="9992" max="9992" width="2.85546875" style="4" customWidth="1"/>
    <col min="9993" max="9994" width="2.85546875" style="4" bestFit="1" customWidth="1"/>
    <col min="9995" max="10003" width="2.85546875" style="4" customWidth="1"/>
    <col min="10004" max="10004" width="2.85546875" style="4" bestFit="1" customWidth="1"/>
    <col min="10005" max="10005" width="2.85546875" style="4" customWidth="1"/>
    <col min="10006" max="10240" width="9" style="4"/>
    <col min="10241" max="10241" width="8.140625" style="4" customWidth="1"/>
    <col min="10242" max="10242" width="13.28515625" style="4" customWidth="1"/>
    <col min="10243" max="10243" width="10.7109375" style="4" customWidth="1"/>
    <col min="10244" max="10244" width="11.28515625" style="4" customWidth="1"/>
    <col min="10245" max="10245" width="0" style="4" hidden="1" customWidth="1"/>
    <col min="10246" max="10247" width="2.85546875" style="4" bestFit="1" customWidth="1"/>
    <col min="10248" max="10248" width="2.85546875" style="4" customWidth="1"/>
    <col min="10249" max="10250" width="2.85546875" style="4" bestFit="1" customWidth="1"/>
    <col min="10251" max="10259" width="2.85546875" style="4" customWidth="1"/>
    <col min="10260" max="10260" width="2.85546875" style="4" bestFit="1" customWidth="1"/>
    <col min="10261" max="10261" width="2.85546875" style="4" customWidth="1"/>
    <col min="10262" max="10496" width="9" style="4"/>
    <col min="10497" max="10497" width="8.140625" style="4" customWidth="1"/>
    <col min="10498" max="10498" width="13.28515625" style="4" customWidth="1"/>
    <col min="10499" max="10499" width="10.7109375" style="4" customWidth="1"/>
    <col min="10500" max="10500" width="11.28515625" style="4" customWidth="1"/>
    <col min="10501" max="10501" width="0" style="4" hidden="1" customWidth="1"/>
    <col min="10502" max="10503" width="2.85546875" style="4" bestFit="1" customWidth="1"/>
    <col min="10504" max="10504" width="2.85546875" style="4" customWidth="1"/>
    <col min="10505" max="10506" width="2.85546875" style="4" bestFit="1" customWidth="1"/>
    <col min="10507" max="10515" width="2.85546875" style="4" customWidth="1"/>
    <col min="10516" max="10516" width="2.85546875" style="4" bestFit="1" customWidth="1"/>
    <col min="10517" max="10517" width="2.85546875" style="4" customWidth="1"/>
    <col min="10518" max="10752" width="9" style="4"/>
    <col min="10753" max="10753" width="8.140625" style="4" customWidth="1"/>
    <col min="10754" max="10754" width="13.28515625" style="4" customWidth="1"/>
    <col min="10755" max="10755" width="10.7109375" style="4" customWidth="1"/>
    <col min="10756" max="10756" width="11.28515625" style="4" customWidth="1"/>
    <col min="10757" max="10757" width="0" style="4" hidden="1" customWidth="1"/>
    <col min="10758" max="10759" width="2.85546875" style="4" bestFit="1" customWidth="1"/>
    <col min="10760" max="10760" width="2.85546875" style="4" customWidth="1"/>
    <col min="10761" max="10762" width="2.85546875" style="4" bestFit="1" customWidth="1"/>
    <col min="10763" max="10771" width="2.85546875" style="4" customWidth="1"/>
    <col min="10772" max="10772" width="2.85546875" style="4" bestFit="1" customWidth="1"/>
    <col min="10773" max="10773" width="2.85546875" style="4" customWidth="1"/>
    <col min="10774" max="11008" width="9" style="4"/>
    <col min="11009" max="11009" width="8.140625" style="4" customWidth="1"/>
    <col min="11010" max="11010" width="13.28515625" style="4" customWidth="1"/>
    <col min="11011" max="11011" width="10.7109375" style="4" customWidth="1"/>
    <col min="11012" max="11012" width="11.28515625" style="4" customWidth="1"/>
    <col min="11013" max="11013" width="0" style="4" hidden="1" customWidth="1"/>
    <col min="11014" max="11015" width="2.85546875" style="4" bestFit="1" customWidth="1"/>
    <col min="11016" max="11016" width="2.85546875" style="4" customWidth="1"/>
    <col min="11017" max="11018" width="2.85546875" style="4" bestFit="1" customWidth="1"/>
    <col min="11019" max="11027" width="2.85546875" style="4" customWidth="1"/>
    <col min="11028" max="11028" width="2.85546875" style="4" bestFit="1" customWidth="1"/>
    <col min="11029" max="11029" width="2.85546875" style="4" customWidth="1"/>
    <col min="11030" max="11264" width="9" style="4"/>
    <col min="11265" max="11265" width="8.140625" style="4" customWidth="1"/>
    <col min="11266" max="11266" width="13.28515625" style="4" customWidth="1"/>
    <col min="11267" max="11267" width="10.7109375" style="4" customWidth="1"/>
    <col min="11268" max="11268" width="11.28515625" style="4" customWidth="1"/>
    <col min="11269" max="11269" width="0" style="4" hidden="1" customWidth="1"/>
    <col min="11270" max="11271" width="2.85546875" style="4" bestFit="1" customWidth="1"/>
    <col min="11272" max="11272" width="2.85546875" style="4" customWidth="1"/>
    <col min="11273" max="11274" width="2.85546875" style="4" bestFit="1" customWidth="1"/>
    <col min="11275" max="11283" width="2.85546875" style="4" customWidth="1"/>
    <col min="11284" max="11284" width="2.85546875" style="4" bestFit="1" customWidth="1"/>
    <col min="11285" max="11285" width="2.85546875" style="4" customWidth="1"/>
    <col min="11286" max="11520" width="9" style="4"/>
    <col min="11521" max="11521" width="8.140625" style="4" customWidth="1"/>
    <col min="11522" max="11522" width="13.28515625" style="4" customWidth="1"/>
    <col min="11523" max="11523" width="10.7109375" style="4" customWidth="1"/>
    <col min="11524" max="11524" width="11.28515625" style="4" customWidth="1"/>
    <col min="11525" max="11525" width="0" style="4" hidden="1" customWidth="1"/>
    <col min="11526" max="11527" width="2.85546875" style="4" bestFit="1" customWidth="1"/>
    <col min="11528" max="11528" width="2.85546875" style="4" customWidth="1"/>
    <col min="11529" max="11530" width="2.85546875" style="4" bestFit="1" customWidth="1"/>
    <col min="11531" max="11539" width="2.85546875" style="4" customWidth="1"/>
    <col min="11540" max="11540" width="2.85546875" style="4" bestFit="1" customWidth="1"/>
    <col min="11541" max="11541" width="2.85546875" style="4" customWidth="1"/>
    <col min="11542" max="11776" width="9" style="4"/>
    <col min="11777" max="11777" width="8.140625" style="4" customWidth="1"/>
    <col min="11778" max="11778" width="13.28515625" style="4" customWidth="1"/>
    <col min="11779" max="11779" width="10.7109375" style="4" customWidth="1"/>
    <col min="11780" max="11780" width="11.28515625" style="4" customWidth="1"/>
    <col min="11781" max="11781" width="0" style="4" hidden="1" customWidth="1"/>
    <col min="11782" max="11783" width="2.85546875" style="4" bestFit="1" customWidth="1"/>
    <col min="11784" max="11784" width="2.85546875" style="4" customWidth="1"/>
    <col min="11785" max="11786" width="2.85546875" style="4" bestFit="1" customWidth="1"/>
    <col min="11787" max="11795" width="2.85546875" style="4" customWidth="1"/>
    <col min="11796" max="11796" width="2.85546875" style="4" bestFit="1" customWidth="1"/>
    <col min="11797" max="11797" width="2.85546875" style="4" customWidth="1"/>
    <col min="11798" max="12032" width="9" style="4"/>
    <col min="12033" max="12033" width="8.140625" style="4" customWidth="1"/>
    <col min="12034" max="12034" width="13.28515625" style="4" customWidth="1"/>
    <col min="12035" max="12035" width="10.7109375" style="4" customWidth="1"/>
    <col min="12036" max="12036" width="11.28515625" style="4" customWidth="1"/>
    <col min="12037" max="12037" width="0" style="4" hidden="1" customWidth="1"/>
    <col min="12038" max="12039" width="2.85546875" style="4" bestFit="1" customWidth="1"/>
    <col min="12040" max="12040" width="2.85546875" style="4" customWidth="1"/>
    <col min="12041" max="12042" width="2.85546875" style="4" bestFit="1" customWidth="1"/>
    <col min="12043" max="12051" width="2.85546875" style="4" customWidth="1"/>
    <col min="12052" max="12052" width="2.85546875" style="4" bestFit="1" customWidth="1"/>
    <col min="12053" max="12053" width="2.85546875" style="4" customWidth="1"/>
    <col min="12054" max="12288" width="9" style="4"/>
    <col min="12289" max="12289" width="8.140625" style="4" customWidth="1"/>
    <col min="12290" max="12290" width="13.28515625" style="4" customWidth="1"/>
    <col min="12291" max="12291" width="10.7109375" style="4" customWidth="1"/>
    <col min="12292" max="12292" width="11.28515625" style="4" customWidth="1"/>
    <col min="12293" max="12293" width="0" style="4" hidden="1" customWidth="1"/>
    <col min="12294" max="12295" width="2.85546875" style="4" bestFit="1" customWidth="1"/>
    <col min="12296" max="12296" width="2.85546875" style="4" customWidth="1"/>
    <col min="12297" max="12298" width="2.85546875" style="4" bestFit="1" customWidth="1"/>
    <col min="12299" max="12307" width="2.85546875" style="4" customWidth="1"/>
    <col min="12308" max="12308" width="2.85546875" style="4" bestFit="1" customWidth="1"/>
    <col min="12309" max="12309" width="2.85546875" style="4" customWidth="1"/>
    <col min="12310" max="12544" width="9" style="4"/>
    <col min="12545" max="12545" width="8.140625" style="4" customWidth="1"/>
    <col min="12546" max="12546" width="13.28515625" style="4" customWidth="1"/>
    <col min="12547" max="12547" width="10.7109375" style="4" customWidth="1"/>
    <col min="12548" max="12548" width="11.28515625" style="4" customWidth="1"/>
    <col min="12549" max="12549" width="0" style="4" hidden="1" customWidth="1"/>
    <col min="12550" max="12551" width="2.85546875" style="4" bestFit="1" customWidth="1"/>
    <col min="12552" max="12552" width="2.85546875" style="4" customWidth="1"/>
    <col min="12553" max="12554" width="2.85546875" style="4" bestFit="1" customWidth="1"/>
    <col min="12555" max="12563" width="2.85546875" style="4" customWidth="1"/>
    <col min="12564" max="12564" width="2.85546875" style="4" bestFit="1" customWidth="1"/>
    <col min="12565" max="12565" width="2.85546875" style="4" customWidth="1"/>
    <col min="12566" max="12800" width="9" style="4"/>
    <col min="12801" max="12801" width="8.140625" style="4" customWidth="1"/>
    <col min="12802" max="12802" width="13.28515625" style="4" customWidth="1"/>
    <col min="12803" max="12803" width="10.7109375" style="4" customWidth="1"/>
    <col min="12804" max="12804" width="11.28515625" style="4" customWidth="1"/>
    <col min="12805" max="12805" width="0" style="4" hidden="1" customWidth="1"/>
    <col min="12806" max="12807" width="2.85546875" style="4" bestFit="1" customWidth="1"/>
    <col min="12808" max="12808" width="2.85546875" style="4" customWidth="1"/>
    <col min="12809" max="12810" width="2.85546875" style="4" bestFit="1" customWidth="1"/>
    <col min="12811" max="12819" width="2.85546875" style="4" customWidth="1"/>
    <col min="12820" max="12820" width="2.85546875" style="4" bestFit="1" customWidth="1"/>
    <col min="12821" max="12821" width="2.85546875" style="4" customWidth="1"/>
    <col min="12822" max="13056" width="9" style="4"/>
    <col min="13057" max="13057" width="8.140625" style="4" customWidth="1"/>
    <col min="13058" max="13058" width="13.28515625" style="4" customWidth="1"/>
    <col min="13059" max="13059" width="10.7109375" style="4" customWidth="1"/>
    <col min="13060" max="13060" width="11.28515625" style="4" customWidth="1"/>
    <col min="13061" max="13061" width="0" style="4" hidden="1" customWidth="1"/>
    <col min="13062" max="13063" width="2.85546875" style="4" bestFit="1" customWidth="1"/>
    <col min="13064" max="13064" width="2.85546875" style="4" customWidth="1"/>
    <col min="13065" max="13066" width="2.85546875" style="4" bestFit="1" customWidth="1"/>
    <col min="13067" max="13075" width="2.85546875" style="4" customWidth="1"/>
    <col min="13076" max="13076" width="2.85546875" style="4" bestFit="1" customWidth="1"/>
    <col min="13077" max="13077" width="2.85546875" style="4" customWidth="1"/>
    <col min="13078" max="13312" width="9" style="4"/>
    <col min="13313" max="13313" width="8.140625" style="4" customWidth="1"/>
    <col min="13314" max="13314" width="13.28515625" style="4" customWidth="1"/>
    <col min="13315" max="13315" width="10.7109375" style="4" customWidth="1"/>
    <col min="13316" max="13316" width="11.28515625" style="4" customWidth="1"/>
    <col min="13317" max="13317" width="0" style="4" hidden="1" customWidth="1"/>
    <col min="13318" max="13319" width="2.85546875" style="4" bestFit="1" customWidth="1"/>
    <col min="13320" max="13320" width="2.85546875" style="4" customWidth="1"/>
    <col min="13321" max="13322" width="2.85546875" style="4" bestFit="1" customWidth="1"/>
    <col min="13323" max="13331" width="2.85546875" style="4" customWidth="1"/>
    <col min="13332" max="13332" width="2.85546875" style="4" bestFit="1" customWidth="1"/>
    <col min="13333" max="13333" width="2.85546875" style="4" customWidth="1"/>
    <col min="13334" max="13568" width="9" style="4"/>
    <col min="13569" max="13569" width="8.140625" style="4" customWidth="1"/>
    <col min="13570" max="13570" width="13.28515625" style="4" customWidth="1"/>
    <col min="13571" max="13571" width="10.7109375" style="4" customWidth="1"/>
    <col min="13572" max="13572" width="11.28515625" style="4" customWidth="1"/>
    <col min="13573" max="13573" width="0" style="4" hidden="1" customWidth="1"/>
    <col min="13574" max="13575" width="2.85546875" style="4" bestFit="1" customWidth="1"/>
    <col min="13576" max="13576" width="2.85546875" style="4" customWidth="1"/>
    <col min="13577" max="13578" width="2.85546875" style="4" bestFit="1" customWidth="1"/>
    <col min="13579" max="13587" width="2.85546875" style="4" customWidth="1"/>
    <col min="13588" max="13588" width="2.85546875" style="4" bestFit="1" customWidth="1"/>
    <col min="13589" max="13589" width="2.85546875" style="4" customWidth="1"/>
    <col min="13590" max="13824" width="9" style="4"/>
    <col min="13825" max="13825" width="8.140625" style="4" customWidth="1"/>
    <col min="13826" max="13826" width="13.28515625" style="4" customWidth="1"/>
    <col min="13827" max="13827" width="10.7109375" style="4" customWidth="1"/>
    <col min="13828" max="13828" width="11.28515625" style="4" customWidth="1"/>
    <col min="13829" max="13829" width="0" style="4" hidden="1" customWidth="1"/>
    <col min="13830" max="13831" width="2.85546875" style="4" bestFit="1" customWidth="1"/>
    <col min="13832" max="13832" width="2.85546875" style="4" customWidth="1"/>
    <col min="13833" max="13834" width="2.85546875" style="4" bestFit="1" customWidth="1"/>
    <col min="13835" max="13843" width="2.85546875" style="4" customWidth="1"/>
    <col min="13844" max="13844" width="2.85546875" style="4" bestFit="1" customWidth="1"/>
    <col min="13845" max="13845" width="2.85546875" style="4" customWidth="1"/>
    <col min="13846" max="14080" width="9" style="4"/>
    <col min="14081" max="14081" width="8.140625" style="4" customWidth="1"/>
    <col min="14082" max="14082" width="13.28515625" style="4" customWidth="1"/>
    <col min="14083" max="14083" width="10.7109375" style="4" customWidth="1"/>
    <col min="14084" max="14084" width="11.28515625" style="4" customWidth="1"/>
    <col min="14085" max="14085" width="0" style="4" hidden="1" customWidth="1"/>
    <col min="14086" max="14087" width="2.85546875" style="4" bestFit="1" customWidth="1"/>
    <col min="14088" max="14088" width="2.85546875" style="4" customWidth="1"/>
    <col min="14089" max="14090" width="2.85546875" style="4" bestFit="1" customWidth="1"/>
    <col min="14091" max="14099" width="2.85546875" style="4" customWidth="1"/>
    <col min="14100" max="14100" width="2.85546875" style="4" bestFit="1" customWidth="1"/>
    <col min="14101" max="14101" width="2.85546875" style="4" customWidth="1"/>
    <col min="14102" max="14336" width="9" style="4"/>
    <col min="14337" max="14337" width="8.140625" style="4" customWidth="1"/>
    <col min="14338" max="14338" width="13.28515625" style="4" customWidth="1"/>
    <col min="14339" max="14339" width="10.7109375" style="4" customWidth="1"/>
    <col min="14340" max="14340" width="11.28515625" style="4" customWidth="1"/>
    <col min="14341" max="14341" width="0" style="4" hidden="1" customWidth="1"/>
    <col min="14342" max="14343" width="2.85546875" style="4" bestFit="1" customWidth="1"/>
    <col min="14344" max="14344" width="2.85546875" style="4" customWidth="1"/>
    <col min="14345" max="14346" width="2.85546875" style="4" bestFit="1" customWidth="1"/>
    <col min="14347" max="14355" width="2.85546875" style="4" customWidth="1"/>
    <col min="14356" max="14356" width="2.85546875" style="4" bestFit="1" customWidth="1"/>
    <col min="14357" max="14357" width="2.85546875" style="4" customWidth="1"/>
    <col min="14358" max="14592" width="9" style="4"/>
    <col min="14593" max="14593" width="8.140625" style="4" customWidth="1"/>
    <col min="14594" max="14594" width="13.28515625" style="4" customWidth="1"/>
    <col min="14595" max="14595" width="10.7109375" style="4" customWidth="1"/>
    <col min="14596" max="14596" width="11.28515625" style="4" customWidth="1"/>
    <col min="14597" max="14597" width="0" style="4" hidden="1" customWidth="1"/>
    <col min="14598" max="14599" width="2.85546875" style="4" bestFit="1" customWidth="1"/>
    <col min="14600" max="14600" width="2.85546875" style="4" customWidth="1"/>
    <col min="14601" max="14602" width="2.85546875" style="4" bestFit="1" customWidth="1"/>
    <col min="14603" max="14611" width="2.85546875" style="4" customWidth="1"/>
    <col min="14612" max="14612" width="2.85546875" style="4" bestFit="1" customWidth="1"/>
    <col min="14613" max="14613" width="2.85546875" style="4" customWidth="1"/>
    <col min="14614" max="14848" width="9" style="4"/>
    <col min="14849" max="14849" width="8.140625" style="4" customWidth="1"/>
    <col min="14850" max="14850" width="13.28515625" style="4" customWidth="1"/>
    <col min="14851" max="14851" width="10.7109375" style="4" customWidth="1"/>
    <col min="14852" max="14852" width="11.28515625" style="4" customWidth="1"/>
    <col min="14853" max="14853" width="0" style="4" hidden="1" customWidth="1"/>
    <col min="14854" max="14855" width="2.85546875" style="4" bestFit="1" customWidth="1"/>
    <col min="14856" max="14856" width="2.85546875" style="4" customWidth="1"/>
    <col min="14857" max="14858" width="2.85546875" style="4" bestFit="1" customWidth="1"/>
    <col min="14859" max="14867" width="2.85546875" style="4" customWidth="1"/>
    <col min="14868" max="14868" width="2.85546875" style="4" bestFit="1" customWidth="1"/>
    <col min="14869" max="14869" width="2.85546875" style="4" customWidth="1"/>
    <col min="14870" max="15104" width="9" style="4"/>
    <col min="15105" max="15105" width="8.140625" style="4" customWidth="1"/>
    <col min="15106" max="15106" width="13.28515625" style="4" customWidth="1"/>
    <col min="15107" max="15107" width="10.7109375" style="4" customWidth="1"/>
    <col min="15108" max="15108" width="11.28515625" style="4" customWidth="1"/>
    <col min="15109" max="15109" width="0" style="4" hidden="1" customWidth="1"/>
    <col min="15110" max="15111" width="2.85546875" style="4" bestFit="1" customWidth="1"/>
    <col min="15112" max="15112" width="2.85546875" style="4" customWidth="1"/>
    <col min="15113" max="15114" width="2.85546875" style="4" bestFit="1" customWidth="1"/>
    <col min="15115" max="15123" width="2.85546875" style="4" customWidth="1"/>
    <col min="15124" max="15124" width="2.85546875" style="4" bestFit="1" customWidth="1"/>
    <col min="15125" max="15125" width="2.85546875" style="4" customWidth="1"/>
    <col min="15126" max="15360" width="9" style="4"/>
    <col min="15361" max="15361" width="8.140625" style="4" customWidth="1"/>
    <col min="15362" max="15362" width="13.28515625" style="4" customWidth="1"/>
    <col min="15363" max="15363" width="10.7109375" style="4" customWidth="1"/>
    <col min="15364" max="15364" width="11.28515625" style="4" customWidth="1"/>
    <col min="15365" max="15365" width="0" style="4" hidden="1" customWidth="1"/>
    <col min="15366" max="15367" width="2.85546875" style="4" bestFit="1" customWidth="1"/>
    <col min="15368" max="15368" width="2.85546875" style="4" customWidth="1"/>
    <col min="15369" max="15370" width="2.85546875" style="4" bestFit="1" customWidth="1"/>
    <col min="15371" max="15379" width="2.85546875" style="4" customWidth="1"/>
    <col min="15380" max="15380" width="2.85546875" style="4" bestFit="1" customWidth="1"/>
    <col min="15381" max="15381" width="2.85546875" style="4" customWidth="1"/>
    <col min="15382" max="15616" width="9" style="4"/>
    <col min="15617" max="15617" width="8.140625" style="4" customWidth="1"/>
    <col min="15618" max="15618" width="13.28515625" style="4" customWidth="1"/>
    <col min="15619" max="15619" width="10.7109375" style="4" customWidth="1"/>
    <col min="15620" max="15620" width="11.28515625" style="4" customWidth="1"/>
    <col min="15621" max="15621" width="0" style="4" hidden="1" customWidth="1"/>
    <col min="15622" max="15623" width="2.85546875" style="4" bestFit="1" customWidth="1"/>
    <col min="15624" max="15624" width="2.85546875" style="4" customWidth="1"/>
    <col min="15625" max="15626" width="2.85546875" style="4" bestFit="1" customWidth="1"/>
    <col min="15627" max="15635" width="2.85546875" style="4" customWidth="1"/>
    <col min="15636" max="15636" width="2.85546875" style="4" bestFit="1" customWidth="1"/>
    <col min="15637" max="15637" width="2.85546875" style="4" customWidth="1"/>
    <col min="15638" max="15872" width="9" style="4"/>
    <col min="15873" max="15873" width="8.140625" style="4" customWidth="1"/>
    <col min="15874" max="15874" width="13.28515625" style="4" customWidth="1"/>
    <col min="15875" max="15875" width="10.7109375" style="4" customWidth="1"/>
    <col min="15876" max="15876" width="11.28515625" style="4" customWidth="1"/>
    <col min="15877" max="15877" width="0" style="4" hidden="1" customWidth="1"/>
    <col min="15878" max="15879" width="2.85546875" style="4" bestFit="1" customWidth="1"/>
    <col min="15880" max="15880" width="2.85546875" style="4" customWidth="1"/>
    <col min="15881" max="15882" width="2.85546875" style="4" bestFit="1" customWidth="1"/>
    <col min="15883" max="15891" width="2.85546875" style="4" customWidth="1"/>
    <col min="15892" max="15892" width="2.85546875" style="4" bestFit="1" customWidth="1"/>
    <col min="15893" max="15893" width="2.85546875" style="4" customWidth="1"/>
    <col min="15894" max="16128" width="9" style="4"/>
    <col min="16129" max="16129" width="8.140625" style="4" customWidth="1"/>
    <col min="16130" max="16130" width="13.28515625" style="4" customWidth="1"/>
    <col min="16131" max="16131" width="10.7109375" style="4" customWidth="1"/>
    <col min="16132" max="16132" width="11.28515625" style="4" customWidth="1"/>
    <col min="16133" max="16133" width="0" style="4" hidden="1" customWidth="1"/>
    <col min="16134" max="16135" width="2.85546875" style="4" bestFit="1" customWidth="1"/>
    <col min="16136" max="16136" width="2.85546875" style="4" customWidth="1"/>
    <col min="16137" max="16138" width="2.85546875" style="4" bestFit="1" customWidth="1"/>
    <col min="16139" max="16147" width="2.85546875" style="4" customWidth="1"/>
    <col min="16148" max="16148" width="2.85546875" style="4" bestFit="1" customWidth="1"/>
    <col min="16149" max="16149" width="2.85546875" style="4" customWidth="1"/>
    <col min="16150" max="16384" width="9" style="4"/>
  </cols>
  <sheetData>
    <row r="1" spans="1:22" ht="13.5" customHeight="1">
      <c r="A1" s="117" t="s">
        <v>6</v>
      </c>
      <c r="B1" s="118"/>
      <c r="C1" s="143" t="s">
        <v>48</v>
      </c>
      <c r="D1" s="144"/>
      <c r="E1" s="145"/>
      <c r="F1" s="146" t="s">
        <v>7</v>
      </c>
      <c r="G1" s="147"/>
      <c r="H1" s="147"/>
      <c r="I1" s="147"/>
      <c r="J1" s="147"/>
      <c r="K1" s="147"/>
      <c r="L1" s="148" t="s">
        <v>48</v>
      </c>
      <c r="M1" s="149"/>
      <c r="N1" s="149"/>
      <c r="O1" s="149"/>
      <c r="P1" s="149"/>
      <c r="Q1" s="149"/>
      <c r="R1" s="149"/>
      <c r="S1" s="149"/>
      <c r="T1" s="150"/>
    </row>
    <row r="2" spans="1:22" ht="13.5" customHeight="1">
      <c r="A2" s="115" t="s">
        <v>8</v>
      </c>
      <c r="B2" s="116"/>
      <c r="C2" s="151" t="s">
        <v>47</v>
      </c>
      <c r="D2" s="152"/>
      <c r="E2" s="153"/>
      <c r="F2" s="154" t="s">
        <v>9</v>
      </c>
      <c r="G2" s="155"/>
      <c r="H2" s="155"/>
      <c r="I2" s="155"/>
      <c r="J2" s="155"/>
      <c r="K2" s="156"/>
      <c r="L2" s="152"/>
      <c r="M2" s="152"/>
      <c r="N2" s="152"/>
      <c r="O2" s="157"/>
      <c r="P2" s="157"/>
      <c r="Q2" s="157"/>
      <c r="R2" s="157"/>
      <c r="S2" s="157"/>
      <c r="T2" s="158"/>
    </row>
    <row r="3" spans="1:22" ht="13.5" customHeight="1">
      <c r="A3" s="115" t="s">
        <v>10</v>
      </c>
      <c r="B3" s="116"/>
      <c r="C3" s="159">
        <v>32</v>
      </c>
      <c r="D3" s="160"/>
      <c r="E3" s="161"/>
      <c r="F3" s="154" t="s">
        <v>11</v>
      </c>
      <c r="G3" s="155"/>
      <c r="H3" s="155"/>
      <c r="I3" s="155"/>
      <c r="J3" s="155"/>
      <c r="K3" s="156"/>
      <c r="L3" s="162">
        <v>-1</v>
      </c>
      <c r="M3" s="163"/>
      <c r="N3" s="163"/>
      <c r="O3" s="163"/>
      <c r="P3" s="163"/>
      <c r="Q3" s="163"/>
      <c r="R3" s="163"/>
      <c r="S3" s="163"/>
      <c r="T3" s="164"/>
    </row>
    <row r="4" spans="1:22" ht="13.5" customHeight="1">
      <c r="A4" s="115" t="s">
        <v>12</v>
      </c>
      <c r="B4" s="116"/>
      <c r="C4" s="141" t="s">
        <v>77</v>
      </c>
      <c r="D4" s="141"/>
      <c r="E4" s="141"/>
      <c r="F4" s="142"/>
      <c r="G4" s="142"/>
      <c r="H4" s="142"/>
      <c r="I4" s="142"/>
      <c r="J4" s="142"/>
      <c r="K4" s="142"/>
      <c r="L4" s="141"/>
      <c r="M4" s="141"/>
      <c r="N4" s="141"/>
      <c r="O4" s="141"/>
      <c r="P4" s="141"/>
      <c r="Q4" s="141"/>
      <c r="R4" s="141"/>
      <c r="S4" s="141"/>
      <c r="T4" s="141"/>
    </row>
    <row r="5" spans="1:22" ht="13.5" customHeight="1">
      <c r="A5" s="100" t="s">
        <v>13</v>
      </c>
      <c r="B5" s="101"/>
      <c r="C5" s="102" t="s">
        <v>14</v>
      </c>
      <c r="D5" s="103"/>
      <c r="E5" s="104"/>
      <c r="F5" s="102" t="s">
        <v>15</v>
      </c>
      <c r="G5" s="103"/>
      <c r="H5" s="103"/>
      <c r="I5" s="103"/>
      <c r="J5" s="103"/>
      <c r="K5" s="105"/>
      <c r="L5" s="103" t="s">
        <v>16</v>
      </c>
      <c r="M5" s="103"/>
      <c r="N5" s="103"/>
      <c r="O5" s="106" t="s">
        <v>17</v>
      </c>
      <c r="P5" s="103"/>
      <c r="Q5" s="103"/>
      <c r="R5" s="103"/>
      <c r="S5" s="103"/>
      <c r="T5" s="107"/>
    </row>
    <row r="6" spans="1:22" ht="13.5" customHeight="1" thickBot="1">
      <c r="A6" s="108">
        <f>COUNTIF(F44:HQ44,"P")</f>
        <v>11</v>
      </c>
      <c r="B6" s="109"/>
      <c r="C6" s="110">
        <f>COUNTIF(F44:HQ44,"F")</f>
        <v>0</v>
      </c>
      <c r="D6" s="111"/>
      <c r="E6" s="109"/>
      <c r="F6" s="110">
        <f>SUM(O6,- A6,- C6)</f>
        <v>0</v>
      </c>
      <c r="G6" s="111"/>
      <c r="H6" s="111"/>
      <c r="I6" s="111"/>
      <c r="J6" s="111"/>
      <c r="K6" s="112"/>
      <c r="L6" s="6">
        <f>COUNTIF(E43:HQ43,"N")</f>
        <v>10</v>
      </c>
      <c r="M6" s="6">
        <f>COUNTIF(E43:HQ43,"A")</f>
        <v>1</v>
      </c>
      <c r="N6" s="6">
        <f>COUNTIF(E43:HQ43,"B")</f>
        <v>0</v>
      </c>
      <c r="O6" s="113">
        <f>COUNTA(E8:HT8)</f>
        <v>11</v>
      </c>
      <c r="P6" s="111"/>
      <c r="Q6" s="111"/>
      <c r="R6" s="111"/>
      <c r="S6" s="111"/>
      <c r="T6" s="114"/>
      <c r="U6" s="7"/>
    </row>
    <row r="7" spans="1:22" ht="11.25" thickBot="1"/>
    <row r="8" spans="1:22" ht="46.5" customHeight="1" thickBot="1">
      <c r="A8" s="98"/>
      <c r="B8" s="99"/>
      <c r="C8" s="99"/>
      <c r="D8" s="99"/>
      <c r="E8" s="10"/>
      <c r="F8" s="11" t="s">
        <v>18</v>
      </c>
      <c r="G8" s="11" t="s">
        <v>19</v>
      </c>
      <c r="H8" s="11" t="s">
        <v>20</v>
      </c>
      <c r="I8" s="11" t="s">
        <v>60</v>
      </c>
      <c r="J8" s="11" t="s">
        <v>61</v>
      </c>
      <c r="K8" s="11" t="s">
        <v>62</v>
      </c>
      <c r="L8" s="11" t="s">
        <v>63</v>
      </c>
      <c r="M8" s="11" t="s">
        <v>64</v>
      </c>
      <c r="N8" s="11" t="s">
        <v>65</v>
      </c>
      <c r="O8" s="11" t="s">
        <v>66</v>
      </c>
      <c r="P8" s="11" t="s">
        <v>67</v>
      </c>
      <c r="Q8" s="12"/>
      <c r="R8" s="12"/>
      <c r="S8" s="12"/>
      <c r="T8" s="13"/>
      <c r="U8" s="2"/>
      <c r="V8" s="14"/>
    </row>
    <row r="9" spans="1:22" ht="13.5" customHeight="1">
      <c r="A9" s="15" t="s">
        <v>21</v>
      </c>
      <c r="B9" s="16" t="s">
        <v>22</v>
      </c>
      <c r="C9" s="17"/>
      <c r="D9" s="18"/>
      <c r="E9" s="83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20"/>
    </row>
    <row r="10" spans="1:22" ht="13.5" customHeight="1">
      <c r="A10" s="21"/>
      <c r="B10" s="22"/>
      <c r="C10" s="23"/>
      <c r="D10" s="24"/>
      <c r="E10" s="84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6"/>
      <c r="V10" s="14"/>
    </row>
    <row r="11" spans="1:22" ht="13.5" customHeight="1">
      <c r="A11" s="21"/>
      <c r="B11" s="22"/>
      <c r="C11" s="23"/>
      <c r="D11" s="24"/>
      <c r="E11" s="84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6"/>
    </row>
    <row r="12" spans="1:22" ht="13.5" customHeight="1">
      <c r="A12" s="21"/>
      <c r="B12" s="22" t="s">
        <v>23</v>
      </c>
      <c r="C12" s="23"/>
      <c r="D12" s="24"/>
      <c r="E12" s="27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6"/>
    </row>
    <row r="13" spans="1:22" ht="15.6" customHeight="1">
      <c r="A13" s="21"/>
      <c r="B13" s="127" t="s">
        <v>68</v>
      </c>
      <c r="C13" s="128"/>
      <c r="D13" s="129"/>
      <c r="E13" s="130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6"/>
    </row>
    <row r="14" spans="1:22" ht="13.5" customHeight="1">
      <c r="A14" s="21"/>
      <c r="B14" s="127"/>
      <c r="C14" s="128"/>
      <c r="D14" s="129" t="s">
        <v>73</v>
      </c>
      <c r="E14" s="130"/>
      <c r="F14" s="25" t="s">
        <v>24</v>
      </c>
      <c r="G14" s="25" t="s">
        <v>24</v>
      </c>
      <c r="H14" s="25" t="s">
        <v>24</v>
      </c>
      <c r="I14" s="25" t="s">
        <v>24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6"/>
    </row>
    <row r="15" spans="1:22" ht="13.5" customHeight="1">
      <c r="A15" s="21"/>
      <c r="B15" s="127"/>
      <c r="C15" s="128"/>
      <c r="D15" s="129" t="s">
        <v>74</v>
      </c>
      <c r="E15" s="130"/>
      <c r="F15" s="25"/>
      <c r="G15" s="25"/>
      <c r="H15" s="25"/>
      <c r="I15" s="25"/>
      <c r="J15" s="138" t="s">
        <v>24</v>
      </c>
      <c r="K15" s="25" t="s">
        <v>24</v>
      </c>
      <c r="L15" s="25" t="s">
        <v>24</v>
      </c>
      <c r="M15" s="25" t="s">
        <v>24</v>
      </c>
      <c r="N15" s="25"/>
      <c r="O15" s="25"/>
      <c r="P15" s="25"/>
      <c r="Q15" s="25"/>
      <c r="R15" s="25"/>
      <c r="S15" s="25"/>
      <c r="T15" s="26"/>
    </row>
    <row r="16" spans="1:22" ht="13.5" customHeight="1">
      <c r="A16" s="21"/>
      <c r="B16" s="127"/>
      <c r="C16" s="128"/>
      <c r="D16" s="129" t="s">
        <v>75</v>
      </c>
      <c r="E16" s="130"/>
      <c r="F16" s="25"/>
      <c r="G16" s="25"/>
      <c r="H16" s="25"/>
      <c r="I16" s="25"/>
      <c r="J16" s="25"/>
      <c r="K16" s="25"/>
      <c r="L16" s="25"/>
      <c r="M16" s="25"/>
      <c r="N16" s="25" t="s">
        <v>24</v>
      </c>
      <c r="O16" s="25" t="s">
        <v>24</v>
      </c>
      <c r="P16" s="25"/>
      <c r="Q16" s="25"/>
      <c r="R16" s="25"/>
      <c r="S16" s="25"/>
      <c r="T16" s="26"/>
    </row>
    <row r="17" spans="1:21" ht="13.5" customHeight="1">
      <c r="A17" s="21"/>
      <c r="B17" s="127"/>
      <c r="C17" s="128"/>
      <c r="D17" s="129" t="s">
        <v>76</v>
      </c>
      <c r="E17" s="130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 t="s">
        <v>24</v>
      </c>
      <c r="Q17" s="25"/>
      <c r="R17" s="25"/>
      <c r="S17" s="25"/>
      <c r="T17" s="26"/>
      <c r="U17" s="28"/>
    </row>
    <row r="18" spans="1:21" ht="13.5" customHeight="1">
      <c r="A18" s="21"/>
      <c r="B18" s="127" t="s">
        <v>69</v>
      </c>
      <c r="C18" s="128"/>
      <c r="D18" s="131"/>
      <c r="E18" s="132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6"/>
    </row>
    <row r="19" spans="1:21" ht="13.5" customHeight="1">
      <c r="A19" s="21"/>
      <c r="B19" s="127"/>
      <c r="C19" s="128"/>
      <c r="D19" s="133">
        <v>10</v>
      </c>
      <c r="E19" s="134"/>
      <c r="F19" s="25" t="s">
        <v>24</v>
      </c>
      <c r="G19" s="25" t="s">
        <v>24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6"/>
    </row>
    <row r="20" spans="1:21" ht="13.5" customHeight="1">
      <c r="A20" s="21"/>
      <c r="B20" s="127"/>
      <c r="C20" s="128"/>
      <c r="D20" s="135">
        <v>100</v>
      </c>
      <c r="E20" s="136"/>
      <c r="F20" s="25"/>
      <c r="G20" s="25"/>
      <c r="H20" s="25" t="s">
        <v>24</v>
      </c>
      <c r="I20" s="25" t="s">
        <v>24</v>
      </c>
      <c r="J20" s="25" t="s">
        <v>24</v>
      </c>
      <c r="K20" s="25" t="s">
        <v>24</v>
      </c>
      <c r="L20" s="25"/>
      <c r="M20" s="25"/>
      <c r="N20" s="25"/>
      <c r="O20" s="25"/>
      <c r="P20" s="25"/>
      <c r="Q20" s="25"/>
      <c r="R20" s="25"/>
      <c r="S20" s="25"/>
      <c r="T20" s="26"/>
    </row>
    <row r="21" spans="1:21" ht="13.5" customHeight="1">
      <c r="A21" s="21"/>
      <c r="B21" s="127"/>
      <c r="C21" s="128"/>
      <c r="D21" s="129">
        <v>500</v>
      </c>
      <c r="E21" s="130"/>
      <c r="F21" s="25"/>
      <c r="G21" s="25"/>
      <c r="H21" s="25"/>
      <c r="I21" s="25"/>
      <c r="J21" s="25"/>
      <c r="K21" s="25"/>
      <c r="L21" s="25" t="s">
        <v>24</v>
      </c>
      <c r="M21" s="25" t="s">
        <v>24</v>
      </c>
      <c r="N21" s="139" t="s">
        <v>24</v>
      </c>
      <c r="O21" s="25" t="s">
        <v>24</v>
      </c>
      <c r="P21" s="25" t="s">
        <v>24</v>
      </c>
      <c r="Q21" s="25"/>
      <c r="R21" s="25"/>
      <c r="S21" s="25"/>
      <c r="T21" s="26"/>
    </row>
    <row r="22" spans="1:21" ht="13.5" customHeight="1">
      <c r="A22" s="21"/>
      <c r="B22" s="127" t="s">
        <v>72</v>
      </c>
      <c r="C22" s="128"/>
      <c r="D22" s="131"/>
      <c r="E22" s="132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6"/>
    </row>
    <row r="23" spans="1:21" ht="13.5" customHeight="1">
      <c r="A23" s="21"/>
      <c r="B23" s="127"/>
      <c r="C23" s="128"/>
      <c r="D23" s="131" t="b">
        <v>1</v>
      </c>
      <c r="E23" s="132"/>
      <c r="F23" s="25" t="s">
        <v>24</v>
      </c>
      <c r="G23" s="25"/>
      <c r="H23" s="25" t="s">
        <v>24</v>
      </c>
      <c r="I23" s="25"/>
      <c r="J23" s="25" t="s">
        <v>24</v>
      </c>
      <c r="K23" s="25"/>
      <c r="L23" s="25" t="s">
        <v>24</v>
      </c>
      <c r="M23" s="25"/>
      <c r="N23" s="25" t="s">
        <v>24</v>
      </c>
      <c r="O23" s="25"/>
      <c r="P23" s="25"/>
      <c r="Q23" s="25"/>
      <c r="R23" s="25"/>
      <c r="S23" s="25"/>
      <c r="T23" s="26"/>
    </row>
    <row r="24" spans="1:21" ht="13.5" customHeight="1">
      <c r="A24" s="21"/>
      <c r="B24" s="127"/>
      <c r="C24" s="128"/>
      <c r="D24" s="137" t="b">
        <v>0</v>
      </c>
      <c r="E24" s="130"/>
      <c r="F24" s="25"/>
      <c r="G24" s="25" t="s">
        <v>24</v>
      </c>
      <c r="H24" s="25"/>
      <c r="I24" s="25" t="s">
        <v>24</v>
      </c>
      <c r="J24" s="25"/>
      <c r="K24" s="25" t="s">
        <v>24</v>
      </c>
      <c r="L24" s="25"/>
      <c r="M24" s="25" t="s">
        <v>24</v>
      </c>
      <c r="N24" s="25"/>
      <c r="O24" s="25" t="s">
        <v>24</v>
      </c>
      <c r="P24" s="25" t="s">
        <v>24</v>
      </c>
      <c r="Q24" s="25"/>
      <c r="R24" s="25"/>
      <c r="S24" s="25"/>
      <c r="T24" s="26"/>
    </row>
    <row r="25" spans="1:21" ht="13.5" customHeight="1">
      <c r="A25" s="21"/>
      <c r="B25" s="22"/>
      <c r="C25" s="23"/>
      <c r="D25" s="29"/>
      <c r="E25" s="8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6"/>
    </row>
    <row r="26" spans="1:21" ht="13.5" customHeight="1">
      <c r="A26" s="21"/>
      <c r="B26" s="22"/>
      <c r="C26" s="23"/>
      <c r="D26" s="29"/>
      <c r="E26" s="8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6"/>
    </row>
    <row r="27" spans="1:21" ht="13.5" customHeight="1">
      <c r="A27" s="21"/>
      <c r="B27" s="22"/>
      <c r="C27" s="23"/>
      <c r="D27" s="29"/>
      <c r="E27" s="8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6"/>
    </row>
    <row r="28" spans="1:21" ht="13.5" customHeight="1">
      <c r="A28" s="21"/>
      <c r="B28" s="30"/>
      <c r="C28" s="23"/>
      <c r="D28" s="29"/>
      <c r="E28" s="8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6"/>
    </row>
    <row r="29" spans="1:21" ht="13.5" customHeight="1" thickBot="1">
      <c r="A29" s="31"/>
      <c r="B29" s="32"/>
      <c r="C29" s="33"/>
      <c r="D29" s="34"/>
      <c r="E29" s="8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6"/>
    </row>
    <row r="30" spans="1:21" ht="13.5" customHeight="1">
      <c r="A30" s="37" t="s">
        <v>25</v>
      </c>
      <c r="B30" s="38" t="s">
        <v>26</v>
      </c>
      <c r="C30" s="39"/>
      <c r="D30" s="40">
        <v>0.5</v>
      </c>
      <c r="E30" s="86"/>
      <c r="F30" s="41"/>
      <c r="G30" s="41" t="s">
        <v>24</v>
      </c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2"/>
    </row>
    <row r="31" spans="1:21" ht="13.5" customHeight="1">
      <c r="A31" s="43"/>
      <c r="B31" s="44"/>
      <c r="C31" s="45"/>
      <c r="D31" s="126">
        <v>1</v>
      </c>
      <c r="E31" s="87"/>
      <c r="F31" s="25" t="s">
        <v>24</v>
      </c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6"/>
    </row>
    <row r="32" spans="1:21" ht="13.5" customHeight="1">
      <c r="A32" s="43"/>
      <c r="B32" s="44"/>
      <c r="C32" s="45"/>
      <c r="D32" s="126">
        <v>10</v>
      </c>
      <c r="E32" s="87"/>
      <c r="F32" s="25"/>
      <c r="G32" s="25"/>
      <c r="H32" s="25"/>
      <c r="I32" s="25" t="s">
        <v>24</v>
      </c>
      <c r="J32" s="25"/>
      <c r="L32" s="25"/>
      <c r="M32" s="25"/>
      <c r="N32" s="25"/>
      <c r="O32" s="25"/>
      <c r="P32" s="25"/>
      <c r="Q32" s="25"/>
      <c r="R32" s="25"/>
      <c r="S32" s="25"/>
      <c r="T32" s="26"/>
    </row>
    <row r="33" spans="1:20" ht="13.5" customHeight="1">
      <c r="A33" s="43"/>
      <c r="B33" s="44"/>
      <c r="C33" s="45"/>
      <c r="D33" s="126">
        <v>15</v>
      </c>
      <c r="E33" s="87"/>
      <c r="F33" s="25"/>
      <c r="G33" s="25"/>
      <c r="H33" s="25" t="s">
        <v>24</v>
      </c>
      <c r="I33" s="25"/>
      <c r="J33" s="25"/>
      <c r="K33" s="25" t="s">
        <v>24</v>
      </c>
      <c r="L33" s="25"/>
      <c r="M33" s="25"/>
      <c r="N33" s="25"/>
      <c r="O33" s="25"/>
      <c r="P33" s="25"/>
      <c r="Q33" s="25"/>
      <c r="R33" s="25"/>
      <c r="S33" s="25"/>
      <c r="T33" s="26"/>
    </row>
    <row r="34" spans="1:20" ht="13.5" customHeight="1">
      <c r="A34" s="43"/>
      <c r="B34" s="44"/>
      <c r="C34" s="45"/>
      <c r="D34" s="126">
        <v>20</v>
      </c>
      <c r="E34" s="87"/>
      <c r="F34" s="25"/>
      <c r="G34" s="25"/>
      <c r="H34" s="25"/>
      <c r="I34" s="25"/>
      <c r="J34" s="25" t="s">
        <v>24</v>
      </c>
      <c r="K34" s="25"/>
      <c r="L34" s="25"/>
      <c r="M34" s="25"/>
      <c r="N34" s="25"/>
      <c r="O34" s="25"/>
      <c r="P34" s="25"/>
      <c r="Q34" s="25"/>
      <c r="R34" s="25"/>
      <c r="S34" s="25"/>
      <c r="T34" s="26"/>
    </row>
    <row r="35" spans="1:20" ht="13.5" customHeight="1">
      <c r="A35" s="43"/>
      <c r="B35" s="44"/>
      <c r="C35" s="46"/>
      <c r="D35" s="126">
        <v>100</v>
      </c>
      <c r="E35" s="88"/>
      <c r="F35" s="25"/>
      <c r="G35" s="25"/>
      <c r="H35" s="140"/>
      <c r="I35" s="25"/>
      <c r="J35" s="25"/>
      <c r="K35" s="25"/>
      <c r="L35" s="25"/>
      <c r="M35" s="25" t="s">
        <v>24</v>
      </c>
      <c r="N35" s="25"/>
      <c r="P35" s="25"/>
      <c r="Q35" s="25"/>
      <c r="R35" s="25"/>
      <c r="S35" s="25"/>
      <c r="T35" s="26"/>
    </row>
    <row r="36" spans="1:20" ht="13.5" customHeight="1">
      <c r="A36" s="43"/>
      <c r="B36" s="44"/>
      <c r="C36" s="46"/>
      <c r="D36" s="126">
        <v>125</v>
      </c>
      <c r="E36" s="88"/>
      <c r="F36" s="25"/>
      <c r="G36" s="25"/>
      <c r="H36" s="60"/>
      <c r="I36" s="25"/>
      <c r="J36" s="25"/>
      <c r="K36" s="25"/>
      <c r="L36" s="25" t="s">
        <v>24</v>
      </c>
      <c r="M36" s="25"/>
      <c r="N36" s="25"/>
      <c r="O36" s="25" t="s">
        <v>24</v>
      </c>
      <c r="P36" s="25"/>
      <c r="Q36" s="25"/>
      <c r="R36" s="25"/>
      <c r="S36" s="25"/>
      <c r="T36" s="26"/>
    </row>
    <row r="37" spans="1:20" ht="13.5" customHeight="1">
      <c r="A37" s="43"/>
      <c r="B37" s="44"/>
      <c r="C37" s="46"/>
      <c r="D37" s="126">
        <v>150</v>
      </c>
      <c r="E37" s="88"/>
      <c r="F37" s="25"/>
      <c r="G37" s="25"/>
      <c r="I37" s="25"/>
      <c r="J37" s="25"/>
      <c r="K37" s="25"/>
      <c r="L37" s="25"/>
      <c r="M37" s="25"/>
      <c r="N37" s="25" t="s">
        <v>24</v>
      </c>
      <c r="O37" s="25"/>
      <c r="P37" s="25"/>
      <c r="Q37" s="25"/>
      <c r="R37" s="25"/>
      <c r="S37" s="25"/>
      <c r="T37" s="26"/>
    </row>
    <row r="38" spans="1:20" ht="13.5" customHeight="1">
      <c r="A38" s="43"/>
      <c r="B38" s="44" t="s">
        <v>27</v>
      </c>
      <c r="C38" s="46"/>
      <c r="D38" s="47"/>
      <c r="E38" s="88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6"/>
    </row>
    <row r="39" spans="1:20" ht="13.5" customHeight="1">
      <c r="A39" s="43"/>
      <c r="B39" s="44"/>
      <c r="C39" s="46"/>
      <c r="D39" s="47" t="s">
        <v>70</v>
      </c>
      <c r="E39" s="88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 t="s">
        <v>24</v>
      </c>
      <c r="Q39" s="25"/>
      <c r="R39" s="25"/>
      <c r="S39" s="25"/>
      <c r="T39" s="26"/>
    </row>
    <row r="40" spans="1:20" ht="13.5" customHeight="1">
      <c r="A40" s="43"/>
      <c r="B40" s="44" t="s">
        <v>28</v>
      </c>
      <c r="C40" s="46"/>
      <c r="D40" s="47"/>
      <c r="E40" s="88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6"/>
    </row>
    <row r="41" spans="1:20" ht="13.5" customHeight="1">
      <c r="A41" s="43"/>
      <c r="B41" s="44"/>
      <c r="C41" s="125"/>
      <c r="D41" s="126" t="s">
        <v>71</v>
      </c>
      <c r="E41" s="88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 t="s">
        <v>24</v>
      </c>
      <c r="Q41" s="25"/>
      <c r="R41" s="25"/>
      <c r="S41" s="25"/>
      <c r="T41" s="26"/>
    </row>
    <row r="42" spans="1:20" ht="13.5" customHeight="1" thickBot="1">
      <c r="A42" s="48"/>
      <c r="B42" s="49"/>
      <c r="C42" s="50"/>
      <c r="D42" s="51"/>
      <c r="E42" s="89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3"/>
    </row>
    <row r="43" spans="1:20" ht="13.5" customHeight="1">
      <c r="A43" s="43" t="s">
        <v>29</v>
      </c>
      <c r="B43" s="90" t="s">
        <v>30</v>
      </c>
      <c r="C43" s="91"/>
      <c r="D43" s="91"/>
      <c r="E43" s="54"/>
      <c r="F43" s="55" t="s">
        <v>31</v>
      </c>
      <c r="G43" s="55" t="s">
        <v>31</v>
      </c>
      <c r="H43" s="55" t="s">
        <v>31</v>
      </c>
      <c r="I43" s="55" t="s">
        <v>31</v>
      </c>
      <c r="J43" s="55" t="s">
        <v>31</v>
      </c>
      <c r="K43" s="55" t="s">
        <v>31</v>
      </c>
      <c r="L43" s="55" t="s">
        <v>31</v>
      </c>
      <c r="M43" s="55" t="s">
        <v>31</v>
      </c>
      <c r="N43" s="55" t="s">
        <v>31</v>
      </c>
      <c r="O43" s="55" t="s">
        <v>31</v>
      </c>
      <c r="P43" s="55" t="s">
        <v>78</v>
      </c>
      <c r="Q43" s="55"/>
      <c r="R43" s="55"/>
      <c r="S43" s="55"/>
      <c r="T43" s="56"/>
    </row>
    <row r="44" spans="1:20" ht="13.5" customHeight="1">
      <c r="A44" s="43"/>
      <c r="B44" s="92" t="s">
        <v>32</v>
      </c>
      <c r="C44" s="93"/>
      <c r="D44" s="93"/>
      <c r="E44" s="57"/>
      <c r="F44" s="58" t="s">
        <v>115</v>
      </c>
      <c r="G44" s="58" t="s">
        <v>115</v>
      </c>
      <c r="H44" s="58" t="s">
        <v>115</v>
      </c>
      <c r="I44" s="58" t="s">
        <v>115</v>
      </c>
      <c r="J44" s="58" t="s">
        <v>115</v>
      </c>
      <c r="K44" s="58" t="s">
        <v>115</v>
      </c>
      <c r="L44" s="58" t="s">
        <v>115</v>
      </c>
      <c r="M44" s="58" t="s">
        <v>115</v>
      </c>
      <c r="N44" s="58" t="s">
        <v>115</v>
      </c>
      <c r="O44" s="58" t="s">
        <v>115</v>
      </c>
      <c r="P44" s="58" t="s">
        <v>115</v>
      </c>
      <c r="Q44" s="58"/>
      <c r="R44" s="58"/>
      <c r="S44" s="58"/>
      <c r="T44" s="59"/>
    </row>
    <row r="45" spans="1:20" ht="13.5" customHeight="1">
      <c r="A45" s="43"/>
      <c r="B45" s="94" t="s">
        <v>33</v>
      </c>
      <c r="C45" s="95"/>
      <c r="D45" s="95"/>
      <c r="E45" s="60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2"/>
    </row>
    <row r="46" spans="1:20" ht="11.25" thickBot="1">
      <c r="A46" s="48"/>
      <c r="B46" s="96" t="s">
        <v>34</v>
      </c>
      <c r="C46" s="97"/>
      <c r="D46" s="97"/>
      <c r="E46" s="63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5"/>
    </row>
    <row r="47" spans="1:20">
      <c r="A47" s="66"/>
    </row>
    <row r="50" spans="1:3">
      <c r="A50" s="2" t="s">
        <v>4</v>
      </c>
      <c r="B50" s="3" t="s">
        <v>5</v>
      </c>
    </row>
    <row r="51" spans="1:3">
      <c r="B51" s="67" t="s">
        <v>35</v>
      </c>
      <c r="C51" s="68"/>
    </row>
  </sheetData>
  <mergeCells count="33">
    <mergeCell ref="A1:B1"/>
    <mergeCell ref="C1:E1"/>
    <mergeCell ref="F1:K1"/>
    <mergeCell ref="L1:T1"/>
    <mergeCell ref="A2:B2"/>
    <mergeCell ref="C2:E2"/>
    <mergeCell ref="F2:K2"/>
    <mergeCell ref="L2:N2"/>
    <mergeCell ref="A6:B6"/>
    <mergeCell ref="C6:E6"/>
    <mergeCell ref="F6:K6"/>
    <mergeCell ref="O6:T6"/>
    <mergeCell ref="A3:B3"/>
    <mergeCell ref="C3:D3"/>
    <mergeCell ref="F3:K3"/>
    <mergeCell ref="L3:T3"/>
    <mergeCell ref="A4:B4"/>
    <mergeCell ref="C4:T4"/>
    <mergeCell ref="A5:B5"/>
    <mergeCell ref="C5:E5"/>
    <mergeCell ref="F5:K5"/>
    <mergeCell ref="L5:N5"/>
    <mergeCell ref="O5:T5"/>
    <mergeCell ref="B43:D43"/>
    <mergeCell ref="B44:D44"/>
    <mergeCell ref="B45:D45"/>
    <mergeCell ref="B46:D46"/>
    <mergeCell ref="A8:D8"/>
    <mergeCell ref="D18:E18"/>
    <mergeCell ref="D19:E19"/>
    <mergeCell ref="D20:E20"/>
    <mergeCell ref="D22:E22"/>
    <mergeCell ref="D23:E23"/>
  </mergeCells>
  <phoneticPr fontId="26" type="noConversion"/>
  <dataValidations count="3">
    <dataValidation type="list" allowBlank="1" showInputMessage="1" showErrorMessage="1" sqref="F43:T43 JB43:JP43 SX43:TL43 ACT43:ADH43 AMP43:AND43 AWL43:AWZ43 BGH43:BGV43 BQD43:BQR43 BZZ43:CAN43 CJV43:CKJ43 CTR43:CUF43 DDN43:DEB43 DNJ43:DNX43 DXF43:DXT43 EHB43:EHP43 EQX43:ERL43 FAT43:FBH43 FKP43:FLD43 FUL43:FUZ43 GEH43:GEV43 GOD43:GOR43 GXZ43:GYN43 HHV43:HIJ43 HRR43:HSF43 IBN43:ICB43 ILJ43:ILX43 IVF43:IVT43 JFB43:JFP43 JOX43:JPL43 JYT43:JZH43 KIP43:KJD43 KSL43:KSZ43 LCH43:LCV43 LMD43:LMR43 LVZ43:LWN43 MFV43:MGJ43 MPR43:MQF43 MZN43:NAB43 NJJ43:NJX43 NTF43:NTT43 ODB43:ODP43 OMX43:ONL43 OWT43:OXH43 PGP43:PHD43 PQL43:PQZ43 QAH43:QAV43 QKD43:QKR43 QTZ43:QUN43 RDV43:REJ43 RNR43:ROF43 RXN43:RYB43 SHJ43:SHX43 SRF43:SRT43 TBB43:TBP43 TKX43:TLL43 TUT43:TVH43 UEP43:UFD43 UOL43:UOZ43 UYH43:UYV43 VID43:VIR43 VRZ43:VSN43 WBV43:WCJ43 WLR43:WMF43 WVN43:WWB43 F65579:T65579 JB65579:JP65579 SX65579:TL65579 ACT65579:ADH65579 AMP65579:AND65579 AWL65579:AWZ65579 BGH65579:BGV65579 BQD65579:BQR65579 BZZ65579:CAN65579 CJV65579:CKJ65579 CTR65579:CUF65579 DDN65579:DEB65579 DNJ65579:DNX65579 DXF65579:DXT65579 EHB65579:EHP65579 EQX65579:ERL65579 FAT65579:FBH65579 FKP65579:FLD65579 FUL65579:FUZ65579 GEH65579:GEV65579 GOD65579:GOR65579 GXZ65579:GYN65579 HHV65579:HIJ65579 HRR65579:HSF65579 IBN65579:ICB65579 ILJ65579:ILX65579 IVF65579:IVT65579 JFB65579:JFP65579 JOX65579:JPL65579 JYT65579:JZH65579 KIP65579:KJD65579 KSL65579:KSZ65579 LCH65579:LCV65579 LMD65579:LMR65579 LVZ65579:LWN65579 MFV65579:MGJ65579 MPR65579:MQF65579 MZN65579:NAB65579 NJJ65579:NJX65579 NTF65579:NTT65579 ODB65579:ODP65579 OMX65579:ONL65579 OWT65579:OXH65579 PGP65579:PHD65579 PQL65579:PQZ65579 QAH65579:QAV65579 QKD65579:QKR65579 QTZ65579:QUN65579 RDV65579:REJ65579 RNR65579:ROF65579 RXN65579:RYB65579 SHJ65579:SHX65579 SRF65579:SRT65579 TBB65579:TBP65579 TKX65579:TLL65579 TUT65579:TVH65579 UEP65579:UFD65579 UOL65579:UOZ65579 UYH65579:UYV65579 VID65579:VIR65579 VRZ65579:VSN65579 WBV65579:WCJ65579 WLR65579:WMF65579 WVN65579:WWB65579 F131115:T131115 JB131115:JP131115 SX131115:TL131115 ACT131115:ADH131115 AMP131115:AND131115 AWL131115:AWZ131115 BGH131115:BGV131115 BQD131115:BQR131115 BZZ131115:CAN131115 CJV131115:CKJ131115 CTR131115:CUF131115 DDN131115:DEB131115 DNJ131115:DNX131115 DXF131115:DXT131115 EHB131115:EHP131115 EQX131115:ERL131115 FAT131115:FBH131115 FKP131115:FLD131115 FUL131115:FUZ131115 GEH131115:GEV131115 GOD131115:GOR131115 GXZ131115:GYN131115 HHV131115:HIJ131115 HRR131115:HSF131115 IBN131115:ICB131115 ILJ131115:ILX131115 IVF131115:IVT131115 JFB131115:JFP131115 JOX131115:JPL131115 JYT131115:JZH131115 KIP131115:KJD131115 KSL131115:KSZ131115 LCH131115:LCV131115 LMD131115:LMR131115 LVZ131115:LWN131115 MFV131115:MGJ131115 MPR131115:MQF131115 MZN131115:NAB131115 NJJ131115:NJX131115 NTF131115:NTT131115 ODB131115:ODP131115 OMX131115:ONL131115 OWT131115:OXH131115 PGP131115:PHD131115 PQL131115:PQZ131115 QAH131115:QAV131115 QKD131115:QKR131115 QTZ131115:QUN131115 RDV131115:REJ131115 RNR131115:ROF131115 RXN131115:RYB131115 SHJ131115:SHX131115 SRF131115:SRT131115 TBB131115:TBP131115 TKX131115:TLL131115 TUT131115:TVH131115 UEP131115:UFD131115 UOL131115:UOZ131115 UYH131115:UYV131115 VID131115:VIR131115 VRZ131115:VSN131115 WBV131115:WCJ131115 WLR131115:WMF131115 WVN131115:WWB131115 F196651:T196651 JB196651:JP196651 SX196651:TL196651 ACT196651:ADH196651 AMP196651:AND196651 AWL196651:AWZ196651 BGH196651:BGV196651 BQD196651:BQR196651 BZZ196651:CAN196651 CJV196651:CKJ196651 CTR196651:CUF196651 DDN196651:DEB196651 DNJ196651:DNX196651 DXF196651:DXT196651 EHB196651:EHP196651 EQX196651:ERL196651 FAT196651:FBH196651 FKP196651:FLD196651 FUL196651:FUZ196651 GEH196651:GEV196651 GOD196651:GOR196651 GXZ196651:GYN196651 HHV196651:HIJ196651 HRR196651:HSF196651 IBN196651:ICB196651 ILJ196651:ILX196651 IVF196651:IVT196651 JFB196651:JFP196651 JOX196651:JPL196651 JYT196651:JZH196651 KIP196651:KJD196651 KSL196651:KSZ196651 LCH196651:LCV196651 LMD196651:LMR196651 LVZ196651:LWN196651 MFV196651:MGJ196651 MPR196651:MQF196651 MZN196651:NAB196651 NJJ196651:NJX196651 NTF196651:NTT196651 ODB196651:ODP196651 OMX196651:ONL196651 OWT196651:OXH196651 PGP196651:PHD196651 PQL196651:PQZ196651 QAH196651:QAV196651 QKD196651:QKR196651 QTZ196651:QUN196651 RDV196651:REJ196651 RNR196651:ROF196651 RXN196651:RYB196651 SHJ196651:SHX196651 SRF196651:SRT196651 TBB196651:TBP196651 TKX196651:TLL196651 TUT196651:TVH196651 UEP196651:UFD196651 UOL196651:UOZ196651 UYH196651:UYV196651 VID196651:VIR196651 VRZ196651:VSN196651 WBV196651:WCJ196651 WLR196651:WMF196651 WVN196651:WWB196651 F262187:T262187 JB262187:JP262187 SX262187:TL262187 ACT262187:ADH262187 AMP262187:AND262187 AWL262187:AWZ262187 BGH262187:BGV262187 BQD262187:BQR262187 BZZ262187:CAN262187 CJV262187:CKJ262187 CTR262187:CUF262187 DDN262187:DEB262187 DNJ262187:DNX262187 DXF262187:DXT262187 EHB262187:EHP262187 EQX262187:ERL262187 FAT262187:FBH262187 FKP262187:FLD262187 FUL262187:FUZ262187 GEH262187:GEV262187 GOD262187:GOR262187 GXZ262187:GYN262187 HHV262187:HIJ262187 HRR262187:HSF262187 IBN262187:ICB262187 ILJ262187:ILX262187 IVF262187:IVT262187 JFB262187:JFP262187 JOX262187:JPL262187 JYT262187:JZH262187 KIP262187:KJD262187 KSL262187:KSZ262187 LCH262187:LCV262187 LMD262187:LMR262187 LVZ262187:LWN262187 MFV262187:MGJ262187 MPR262187:MQF262187 MZN262187:NAB262187 NJJ262187:NJX262187 NTF262187:NTT262187 ODB262187:ODP262187 OMX262187:ONL262187 OWT262187:OXH262187 PGP262187:PHD262187 PQL262187:PQZ262187 QAH262187:QAV262187 QKD262187:QKR262187 QTZ262187:QUN262187 RDV262187:REJ262187 RNR262187:ROF262187 RXN262187:RYB262187 SHJ262187:SHX262187 SRF262187:SRT262187 TBB262187:TBP262187 TKX262187:TLL262187 TUT262187:TVH262187 UEP262187:UFD262187 UOL262187:UOZ262187 UYH262187:UYV262187 VID262187:VIR262187 VRZ262187:VSN262187 WBV262187:WCJ262187 WLR262187:WMF262187 WVN262187:WWB262187 F327723:T327723 JB327723:JP327723 SX327723:TL327723 ACT327723:ADH327723 AMP327723:AND327723 AWL327723:AWZ327723 BGH327723:BGV327723 BQD327723:BQR327723 BZZ327723:CAN327723 CJV327723:CKJ327723 CTR327723:CUF327723 DDN327723:DEB327723 DNJ327723:DNX327723 DXF327723:DXT327723 EHB327723:EHP327723 EQX327723:ERL327723 FAT327723:FBH327723 FKP327723:FLD327723 FUL327723:FUZ327723 GEH327723:GEV327723 GOD327723:GOR327723 GXZ327723:GYN327723 HHV327723:HIJ327723 HRR327723:HSF327723 IBN327723:ICB327723 ILJ327723:ILX327723 IVF327723:IVT327723 JFB327723:JFP327723 JOX327723:JPL327723 JYT327723:JZH327723 KIP327723:KJD327723 KSL327723:KSZ327723 LCH327723:LCV327723 LMD327723:LMR327723 LVZ327723:LWN327723 MFV327723:MGJ327723 MPR327723:MQF327723 MZN327723:NAB327723 NJJ327723:NJX327723 NTF327723:NTT327723 ODB327723:ODP327723 OMX327723:ONL327723 OWT327723:OXH327723 PGP327723:PHD327723 PQL327723:PQZ327723 QAH327723:QAV327723 QKD327723:QKR327723 QTZ327723:QUN327723 RDV327723:REJ327723 RNR327723:ROF327723 RXN327723:RYB327723 SHJ327723:SHX327723 SRF327723:SRT327723 TBB327723:TBP327723 TKX327723:TLL327723 TUT327723:TVH327723 UEP327723:UFD327723 UOL327723:UOZ327723 UYH327723:UYV327723 VID327723:VIR327723 VRZ327723:VSN327723 WBV327723:WCJ327723 WLR327723:WMF327723 WVN327723:WWB327723 F393259:T393259 JB393259:JP393259 SX393259:TL393259 ACT393259:ADH393259 AMP393259:AND393259 AWL393259:AWZ393259 BGH393259:BGV393259 BQD393259:BQR393259 BZZ393259:CAN393259 CJV393259:CKJ393259 CTR393259:CUF393259 DDN393259:DEB393259 DNJ393259:DNX393259 DXF393259:DXT393259 EHB393259:EHP393259 EQX393259:ERL393259 FAT393259:FBH393259 FKP393259:FLD393259 FUL393259:FUZ393259 GEH393259:GEV393259 GOD393259:GOR393259 GXZ393259:GYN393259 HHV393259:HIJ393259 HRR393259:HSF393259 IBN393259:ICB393259 ILJ393259:ILX393259 IVF393259:IVT393259 JFB393259:JFP393259 JOX393259:JPL393259 JYT393259:JZH393259 KIP393259:KJD393259 KSL393259:KSZ393259 LCH393259:LCV393259 LMD393259:LMR393259 LVZ393259:LWN393259 MFV393259:MGJ393259 MPR393259:MQF393259 MZN393259:NAB393259 NJJ393259:NJX393259 NTF393259:NTT393259 ODB393259:ODP393259 OMX393259:ONL393259 OWT393259:OXH393259 PGP393259:PHD393259 PQL393259:PQZ393259 QAH393259:QAV393259 QKD393259:QKR393259 QTZ393259:QUN393259 RDV393259:REJ393259 RNR393259:ROF393259 RXN393259:RYB393259 SHJ393259:SHX393259 SRF393259:SRT393259 TBB393259:TBP393259 TKX393259:TLL393259 TUT393259:TVH393259 UEP393259:UFD393259 UOL393259:UOZ393259 UYH393259:UYV393259 VID393259:VIR393259 VRZ393259:VSN393259 WBV393259:WCJ393259 WLR393259:WMF393259 WVN393259:WWB393259 F458795:T458795 JB458795:JP458795 SX458795:TL458795 ACT458795:ADH458795 AMP458795:AND458795 AWL458795:AWZ458795 BGH458795:BGV458795 BQD458795:BQR458795 BZZ458795:CAN458795 CJV458795:CKJ458795 CTR458795:CUF458795 DDN458795:DEB458795 DNJ458795:DNX458795 DXF458795:DXT458795 EHB458795:EHP458795 EQX458795:ERL458795 FAT458795:FBH458795 FKP458795:FLD458795 FUL458795:FUZ458795 GEH458795:GEV458795 GOD458795:GOR458795 GXZ458795:GYN458795 HHV458795:HIJ458795 HRR458795:HSF458795 IBN458795:ICB458795 ILJ458795:ILX458795 IVF458795:IVT458795 JFB458795:JFP458795 JOX458795:JPL458795 JYT458795:JZH458795 KIP458795:KJD458795 KSL458795:KSZ458795 LCH458795:LCV458795 LMD458795:LMR458795 LVZ458795:LWN458795 MFV458795:MGJ458795 MPR458795:MQF458795 MZN458795:NAB458795 NJJ458795:NJX458795 NTF458795:NTT458795 ODB458795:ODP458795 OMX458795:ONL458795 OWT458795:OXH458795 PGP458795:PHD458795 PQL458795:PQZ458795 QAH458795:QAV458795 QKD458795:QKR458795 QTZ458795:QUN458795 RDV458795:REJ458795 RNR458795:ROF458795 RXN458795:RYB458795 SHJ458795:SHX458795 SRF458795:SRT458795 TBB458795:TBP458795 TKX458795:TLL458795 TUT458795:TVH458795 UEP458795:UFD458795 UOL458795:UOZ458795 UYH458795:UYV458795 VID458795:VIR458795 VRZ458795:VSN458795 WBV458795:WCJ458795 WLR458795:WMF458795 WVN458795:WWB458795 F524331:T524331 JB524331:JP524331 SX524331:TL524331 ACT524331:ADH524331 AMP524331:AND524331 AWL524331:AWZ524331 BGH524331:BGV524331 BQD524331:BQR524331 BZZ524331:CAN524331 CJV524331:CKJ524331 CTR524331:CUF524331 DDN524331:DEB524331 DNJ524331:DNX524331 DXF524331:DXT524331 EHB524331:EHP524331 EQX524331:ERL524331 FAT524331:FBH524331 FKP524331:FLD524331 FUL524331:FUZ524331 GEH524331:GEV524331 GOD524331:GOR524331 GXZ524331:GYN524331 HHV524331:HIJ524331 HRR524331:HSF524331 IBN524331:ICB524331 ILJ524331:ILX524331 IVF524331:IVT524331 JFB524331:JFP524331 JOX524331:JPL524331 JYT524331:JZH524331 KIP524331:KJD524331 KSL524331:KSZ524331 LCH524331:LCV524331 LMD524331:LMR524331 LVZ524331:LWN524331 MFV524331:MGJ524331 MPR524331:MQF524331 MZN524331:NAB524331 NJJ524331:NJX524331 NTF524331:NTT524331 ODB524331:ODP524331 OMX524331:ONL524331 OWT524331:OXH524331 PGP524331:PHD524331 PQL524331:PQZ524331 QAH524331:QAV524331 QKD524331:QKR524331 QTZ524331:QUN524331 RDV524331:REJ524331 RNR524331:ROF524331 RXN524331:RYB524331 SHJ524331:SHX524331 SRF524331:SRT524331 TBB524331:TBP524331 TKX524331:TLL524331 TUT524331:TVH524331 UEP524331:UFD524331 UOL524331:UOZ524331 UYH524331:UYV524331 VID524331:VIR524331 VRZ524331:VSN524331 WBV524331:WCJ524331 WLR524331:WMF524331 WVN524331:WWB524331 F589867:T589867 JB589867:JP589867 SX589867:TL589867 ACT589867:ADH589867 AMP589867:AND589867 AWL589867:AWZ589867 BGH589867:BGV589867 BQD589867:BQR589867 BZZ589867:CAN589867 CJV589867:CKJ589867 CTR589867:CUF589867 DDN589867:DEB589867 DNJ589867:DNX589867 DXF589867:DXT589867 EHB589867:EHP589867 EQX589867:ERL589867 FAT589867:FBH589867 FKP589867:FLD589867 FUL589867:FUZ589867 GEH589867:GEV589867 GOD589867:GOR589867 GXZ589867:GYN589867 HHV589867:HIJ589867 HRR589867:HSF589867 IBN589867:ICB589867 ILJ589867:ILX589867 IVF589867:IVT589867 JFB589867:JFP589867 JOX589867:JPL589867 JYT589867:JZH589867 KIP589867:KJD589867 KSL589867:KSZ589867 LCH589867:LCV589867 LMD589867:LMR589867 LVZ589867:LWN589867 MFV589867:MGJ589867 MPR589867:MQF589867 MZN589867:NAB589867 NJJ589867:NJX589867 NTF589867:NTT589867 ODB589867:ODP589867 OMX589867:ONL589867 OWT589867:OXH589867 PGP589867:PHD589867 PQL589867:PQZ589867 QAH589867:QAV589867 QKD589867:QKR589867 QTZ589867:QUN589867 RDV589867:REJ589867 RNR589867:ROF589867 RXN589867:RYB589867 SHJ589867:SHX589867 SRF589867:SRT589867 TBB589867:TBP589867 TKX589867:TLL589867 TUT589867:TVH589867 UEP589867:UFD589867 UOL589867:UOZ589867 UYH589867:UYV589867 VID589867:VIR589867 VRZ589867:VSN589867 WBV589867:WCJ589867 WLR589867:WMF589867 WVN589867:WWB589867 F655403:T655403 JB655403:JP655403 SX655403:TL655403 ACT655403:ADH655403 AMP655403:AND655403 AWL655403:AWZ655403 BGH655403:BGV655403 BQD655403:BQR655403 BZZ655403:CAN655403 CJV655403:CKJ655403 CTR655403:CUF655403 DDN655403:DEB655403 DNJ655403:DNX655403 DXF655403:DXT655403 EHB655403:EHP655403 EQX655403:ERL655403 FAT655403:FBH655403 FKP655403:FLD655403 FUL655403:FUZ655403 GEH655403:GEV655403 GOD655403:GOR655403 GXZ655403:GYN655403 HHV655403:HIJ655403 HRR655403:HSF655403 IBN655403:ICB655403 ILJ655403:ILX655403 IVF655403:IVT655403 JFB655403:JFP655403 JOX655403:JPL655403 JYT655403:JZH655403 KIP655403:KJD655403 KSL655403:KSZ655403 LCH655403:LCV655403 LMD655403:LMR655403 LVZ655403:LWN655403 MFV655403:MGJ655403 MPR655403:MQF655403 MZN655403:NAB655403 NJJ655403:NJX655403 NTF655403:NTT655403 ODB655403:ODP655403 OMX655403:ONL655403 OWT655403:OXH655403 PGP655403:PHD655403 PQL655403:PQZ655403 QAH655403:QAV655403 QKD655403:QKR655403 QTZ655403:QUN655403 RDV655403:REJ655403 RNR655403:ROF655403 RXN655403:RYB655403 SHJ655403:SHX655403 SRF655403:SRT655403 TBB655403:TBP655403 TKX655403:TLL655403 TUT655403:TVH655403 UEP655403:UFD655403 UOL655403:UOZ655403 UYH655403:UYV655403 VID655403:VIR655403 VRZ655403:VSN655403 WBV655403:WCJ655403 WLR655403:WMF655403 WVN655403:WWB655403 F720939:T720939 JB720939:JP720939 SX720939:TL720939 ACT720939:ADH720939 AMP720939:AND720939 AWL720939:AWZ720939 BGH720939:BGV720939 BQD720939:BQR720939 BZZ720939:CAN720939 CJV720939:CKJ720939 CTR720939:CUF720939 DDN720939:DEB720939 DNJ720939:DNX720939 DXF720939:DXT720939 EHB720939:EHP720939 EQX720939:ERL720939 FAT720939:FBH720939 FKP720939:FLD720939 FUL720939:FUZ720939 GEH720939:GEV720939 GOD720939:GOR720939 GXZ720939:GYN720939 HHV720939:HIJ720939 HRR720939:HSF720939 IBN720939:ICB720939 ILJ720939:ILX720939 IVF720939:IVT720939 JFB720939:JFP720939 JOX720939:JPL720939 JYT720939:JZH720939 KIP720939:KJD720939 KSL720939:KSZ720939 LCH720939:LCV720939 LMD720939:LMR720939 LVZ720939:LWN720939 MFV720939:MGJ720939 MPR720939:MQF720939 MZN720939:NAB720939 NJJ720939:NJX720939 NTF720939:NTT720939 ODB720939:ODP720939 OMX720939:ONL720939 OWT720939:OXH720939 PGP720939:PHD720939 PQL720939:PQZ720939 QAH720939:QAV720939 QKD720939:QKR720939 QTZ720939:QUN720939 RDV720939:REJ720939 RNR720939:ROF720939 RXN720939:RYB720939 SHJ720939:SHX720939 SRF720939:SRT720939 TBB720939:TBP720939 TKX720939:TLL720939 TUT720939:TVH720939 UEP720939:UFD720939 UOL720939:UOZ720939 UYH720939:UYV720939 VID720939:VIR720939 VRZ720939:VSN720939 WBV720939:WCJ720939 WLR720939:WMF720939 WVN720939:WWB720939 F786475:T786475 JB786475:JP786475 SX786475:TL786475 ACT786475:ADH786475 AMP786475:AND786475 AWL786475:AWZ786475 BGH786475:BGV786475 BQD786475:BQR786475 BZZ786475:CAN786475 CJV786475:CKJ786475 CTR786475:CUF786475 DDN786475:DEB786475 DNJ786475:DNX786475 DXF786475:DXT786475 EHB786475:EHP786475 EQX786475:ERL786475 FAT786475:FBH786475 FKP786475:FLD786475 FUL786475:FUZ786475 GEH786475:GEV786475 GOD786475:GOR786475 GXZ786475:GYN786475 HHV786475:HIJ786475 HRR786475:HSF786475 IBN786475:ICB786475 ILJ786475:ILX786475 IVF786475:IVT786475 JFB786475:JFP786475 JOX786475:JPL786475 JYT786475:JZH786475 KIP786475:KJD786475 KSL786475:KSZ786475 LCH786475:LCV786475 LMD786475:LMR786475 LVZ786475:LWN786475 MFV786475:MGJ786475 MPR786475:MQF786475 MZN786475:NAB786475 NJJ786475:NJX786475 NTF786475:NTT786475 ODB786475:ODP786475 OMX786475:ONL786475 OWT786475:OXH786475 PGP786475:PHD786475 PQL786475:PQZ786475 QAH786475:QAV786475 QKD786475:QKR786475 QTZ786475:QUN786475 RDV786475:REJ786475 RNR786475:ROF786475 RXN786475:RYB786475 SHJ786475:SHX786475 SRF786475:SRT786475 TBB786475:TBP786475 TKX786475:TLL786475 TUT786475:TVH786475 UEP786475:UFD786475 UOL786475:UOZ786475 UYH786475:UYV786475 VID786475:VIR786475 VRZ786475:VSN786475 WBV786475:WCJ786475 WLR786475:WMF786475 WVN786475:WWB786475 F852011:T852011 JB852011:JP852011 SX852011:TL852011 ACT852011:ADH852011 AMP852011:AND852011 AWL852011:AWZ852011 BGH852011:BGV852011 BQD852011:BQR852011 BZZ852011:CAN852011 CJV852011:CKJ852011 CTR852011:CUF852011 DDN852011:DEB852011 DNJ852011:DNX852011 DXF852011:DXT852011 EHB852011:EHP852011 EQX852011:ERL852011 FAT852011:FBH852011 FKP852011:FLD852011 FUL852011:FUZ852011 GEH852011:GEV852011 GOD852011:GOR852011 GXZ852011:GYN852011 HHV852011:HIJ852011 HRR852011:HSF852011 IBN852011:ICB852011 ILJ852011:ILX852011 IVF852011:IVT852011 JFB852011:JFP852011 JOX852011:JPL852011 JYT852011:JZH852011 KIP852011:KJD852011 KSL852011:KSZ852011 LCH852011:LCV852011 LMD852011:LMR852011 LVZ852011:LWN852011 MFV852011:MGJ852011 MPR852011:MQF852011 MZN852011:NAB852011 NJJ852011:NJX852011 NTF852011:NTT852011 ODB852011:ODP852011 OMX852011:ONL852011 OWT852011:OXH852011 PGP852011:PHD852011 PQL852011:PQZ852011 QAH852011:QAV852011 QKD852011:QKR852011 QTZ852011:QUN852011 RDV852011:REJ852011 RNR852011:ROF852011 RXN852011:RYB852011 SHJ852011:SHX852011 SRF852011:SRT852011 TBB852011:TBP852011 TKX852011:TLL852011 TUT852011:TVH852011 UEP852011:UFD852011 UOL852011:UOZ852011 UYH852011:UYV852011 VID852011:VIR852011 VRZ852011:VSN852011 WBV852011:WCJ852011 WLR852011:WMF852011 WVN852011:WWB852011 F917547:T917547 JB917547:JP917547 SX917547:TL917547 ACT917547:ADH917547 AMP917547:AND917547 AWL917547:AWZ917547 BGH917547:BGV917547 BQD917547:BQR917547 BZZ917547:CAN917547 CJV917547:CKJ917547 CTR917547:CUF917547 DDN917547:DEB917547 DNJ917547:DNX917547 DXF917547:DXT917547 EHB917547:EHP917547 EQX917547:ERL917547 FAT917547:FBH917547 FKP917547:FLD917547 FUL917547:FUZ917547 GEH917547:GEV917547 GOD917547:GOR917547 GXZ917547:GYN917547 HHV917547:HIJ917547 HRR917547:HSF917547 IBN917547:ICB917547 ILJ917547:ILX917547 IVF917547:IVT917547 JFB917547:JFP917547 JOX917547:JPL917547 JYT917547:JZH917547 KIP917547:KJD917547 KSL917547:KSZ917547 LCH917547:LCV917547 LMD917547:LMR917547 LVZ917547:LWN917547 MFV917547:MGJ917547 MPR917547:MQF917547 MZN917547:NAB917547 NJJ917547:NJX917547 NTF917547:NTT917547 ODB917547:ODP917547 OMX917547:ONL917547 OWT917547:OXH917547 PGP917547:PHD917547 PQL917547:PQZ917547 QAH917547:QAV917547 QKD917547:QKR917547 QTZ917547:QUN917547 RDV917547:REJ917547 RNR917547:ROF917547 RXN917547:RYB917547 SHJ917547:SHX917547 SRF917547:SRT917547 TBB917547:TBP917547 TKX917547:TLL917547 TUT917547:TVH917547 UEP917547:UFD917547 UOL917547:UOZ917547 UYH917547:UYV917547 VID917547:VIR917547 VRZ917547:VSN917547 WBV917547:WCJ917547 WLR917547:WMF917547 WVN917547:WWB917547 F983083:T983083 JB983083:JP983083 SX983083:TL983083 ACT983083:ADH983083 AMP983083:AND983083 AWL983083:AWZ983083 BGH983083:BGV983083 BQD983083:BQR983083 BZZ983083:CAN983083 CJV983083:CKJ983083 CTR983083:CUF983083 DDN983083:DEB983083 DNJ983083:DNX983083 DXF983083:DXT983083 EHB983083:EHP983083 EQX983083:ERL983083 FAT983083:FBH983083 FKP983083:FLD983083 FUL983083:FUZ983083 GEH983083:GEV983083 GOD983083:GOR983083 GXZ983083:GYN983083 HHV983083:HIJ983083 HRR983083:HSF983083 IBN983083:ICB983083 ILJ983083:ILX983083 IVF983083:IVT983083 JFB983083:JFP983083 JOX983083:JPL983083 JYT983083:JZH983083 KIP983083:KJD983083 KSL983083:KSZ983083 LCH983083:LCV983083 LMD983083:LMR983083 LVZ983083:LWN983083 MFV983083:MGJ983083 MPR983083:MQF983083 MZN983083:NAB983083 NJJ983083:NJX983083 NTF983083:NTT983083 ODB983083:ODP983083 OMX983083:ONL983083 OWT983083:OXH983083 PGP983083:PHD983083 PQL983083:PQZ983083 QAH983083:QAV983083 QKD983083:QKR983083 QTZ983083:QUN983083 RDV983083:REJ983083 RNR983083:ROF983083 RXN983083:RYB983083 SHJ983083:SHX983083 SRF983083:SRT983083 TBB983083:TBP983083 TKX983083:TLL983083 TUT983083:TVH983083 UEP983083:UFD983083 UOL983083:UOZ983083 UYH983083:UYV983083 VID983083:VIR983083 VRZ983083:VSN983083 WBV983083:WCJ983083 WLR983083:WMF983083 WVN983083:WWB983083" xr:uid="{00000000-0002-0000-0100-000000000000}">
      <formula1>"N,A,B, "</formula1>
    </dataValidation>
    <dataValidation type="list" allowBlank="1" showInputMessage="1" showErrorMessage="1" sqref="F44:T44 JB44:JP44 SX44:TL44 ACT44:ADH44 AMP44:AND44 AWL44:AWZ44 BGH44:BGV44 BQD44:BQR44 BZZ44:CAN44 CJV44:CKJ44 CTR44:CUF44 DDN44:DEB44 DNJ44:DNX44 DXF44:DXT44 EHB44:EHP44 EQX44:ERL44 FAT44:FBH44 FKP44:FLD44 FUL44:FUZ44 GEH44:GEV44 GOD44:GOR44 GXZ44:GYN44 HHV44:HIJ44 HRR44:HSF44 IBN44:ICB44 ILJ44:ILX44 IVF44:IVT44 JFB44:JFP44 JOX44:JPL44 JYT44:JZH44 KIP44:KJD44 KSL44:KSZ44 LCH44:LCV44 LMD44:LMR44 LVZ44:LWN44 MFV44:MGJ44 MPR44:MQF44 MZN44:NAB44 NJJ44:NJX44 NTF44:NTT44 ODB44:ODP44 OMX44:ONL44 OWT44:OXH44 PGP44:PHD44 PQL44:PQZ44 QAH44:QAV44 QKD44:QKR44 QTZ44:QUN44 RDV44:REJ44 RNR44:ROF44 RXN44:RYB44 SHJ44:SHX44 SRF44:SRT44 TBB44:TBP44 TKX44:TLL44 TUT44:TVH44 UEP44:UFD44 UOL44:UOZ44 UYH44:UYV44 VID44:VIR44 VRZ44:VSN44 WBV44:WCJ44 WLR44:WMF44 WVN44:WWB44 F65580:T65580 JB65580:JP65580 SX65580:TL65580 ACT65580:ADH65580 AMP65580:AND65580 AWL65580:AWZ65580 BGH65580:BGV65580 BQD65580:BQR65580 BZZ65580:CAN65580 CJV65580:CKJ65580 CTR65580:CUF65580 DDN65580:DEB65580 DNJ65580:DNX65580 DXF65580:DXT65580 EHB65580:EHP65580 EQX65580:ERL65580 FAT65580:FBH65580 FKP65580:FLD65580 FUL65580:FUZ65580 GEH65580:GEV65580 GOD65580:GOR65580 GXZ65580:GYN65580 HHV65580:HIJ65580 HRR65580:HSF65580 IBN65580:ICB65580 ILJ65580:ILX65580 IVF65580:IVT65580 JFB65580:JFP65580 JOX65580:JPL65580 JYT65580:JZH65580 KIP65580:KJD65580 KSL65580:KSZ65580 LCH65580:LCV65580 LMD65580:LMR65580 LVZ65580:LWN65580 MFV65580:MGJ65580 MPR65580:MQF65580 MZN65580:NAB65580 NJJ65580:NJX65580 NTF65580:NTT65580 ODB65580:ODP65580 OMX65580:ONL65580 OWT65580:OXH65580 PGP65580:PHD65580 PQL65580:PQZ65580 QAH65580:QAV65580 QKD65580:QKR65580 QTZ65580:QUN65580 RDV65580:REJ65580 RNR65580:ROF65580 RXN65580:RYB65580 SHJ65580:SHX65580 SRF65580:SRT65580 TBB65580:TBP65580 TKX65580:TLL65580 TUT65580:TVH65580 UEP65580:UFD65580 UOL65580:UOZ65580 UYH65580:UYV65580 VID65580:VIR65580 VRZ65580:VSN65580 WBV65580:WCJ65580 WLR65580:WMF65580 WVN65580:WWB65580 F131116:T131116 JB131116:JP131116 SX131116:TL131116 ACT131116:ADH131116 AMP131116:AND131116 AWL131116:AWZ131116 BGH131116:BGV131116 BQD131116:BQR131116 BZZ131116:CAN131116 CJV131116:CKJ131116 CTR131116:CUF131116 DDN131116:DEB131116 DNJ131116:DNX131116 DXF131116:DXT131116 EHB131116:EHP131116 EQX131116:ERL131116 FAT131116:FBH131116 FKP131116:FLD131116 FUL131116:FUZ131116 GEH131116:GEV131116 GOD131116:GOR131116 GXZ131116:GYN131116 HHV131116:HIJ131116 HRR131116:HSF131116 IBN131116:ICB131116 ILJ131116:ILX131116 IVF131116:IVT131116 JFB131116:JFP131116 JOX131116:JPL131116 JYT131116:JZH131116 KIP131116:KJD131116 KSL131116:KSZ131116 LCH131116:LCV131116 LMD131116:LMR131116 LVZ131116:LWN131116 MFV131116:MGJ131116 MPR131116:MQF131116 MZN131116:NAB131116 NJJ131116:NJX131116 NTF131116:NTT131116 ODB131116:ODP131116 OMX131116:ONL131116 OWT131116:OXH131116 PGP131116:PHD131116 PQL131116:PQZ131116 QAH131116:QAV131116 QKD131116:QKR131116 QTZ131116:QUN131116 RDV131116:REJ131116 RNR131116:ROF131116 RXN131116:RYB131116 SHJ131116:SHX131116 SRF131116:SRT131116 TBB131116:TBP131116 TKX131116:TLL131116 TUT131116:TVH131116 UEP131116:UFD131116 UOL131116:UOZ131116 UYH131116:UYV131116 VID131116:VIR131116 VRZ131116:VSN131116 WBV131116:WCJ131116 WLR131116:WMF131116 WVN131116:WWB131116 F196652:T196652 JB196652:JP196652 SX196652:TL196652 ACT196652:ADH196652 AMP196652:AND196652 AWL196652:AWZ196652 BGH196652:BGV196652 BQD196652:BQR196652 BZZ196652:CAN196652 CJV196652:CKJ196652 CTR196652:CUF196652 DDN196652:DEB196652 DNJ196652:DNX196652 DXF196652:DXT196652 EHB196652:EHP196652 EQX196652:ERL196652 FAT196652:FBH196652 FKP196652:FLD196652 FUL196652:FUZ196652 GEH196652:GEV196652 GOD196652:GOR196652 GXZ196652:GYN196652 HHV196652:HIJ196652 HRR196652:HSF196652 IBN196652:ICB196652 ILJ196652:ILX196652 IVF196652:IVT196652 JFB196652:JFP196652 JOX196652:JPL196652 JYT196652:JZH196652 KIP196652:KJD196652 KSL196652:KSZ196652 LCH196652:LCV196652 LMD196652:LMR196652 LVZ196652:LWN196652 MFV196652:MGJ196652 MPR196652:MQF196652 MZN196652:NAB196652 NJJ196652:NJX196652 NTF196652:NTT196652 ODB196652:ODP196652 OMX196652:ONL196652 OWT196652:OXH196652 PGP196652:PHD196652 PQL196652:PQZ196652 QAH196652:QAV196652 QKD196652:QKR196652 QTZ196652:QUN196652 RDV196652:REJ196652 RNR196652:ROF196652 RXN196652:RYB196652 SHJ196652:SHX196652 SRF196652:SRT196652 TBB196652:TBP196652 TKX196652:TLL196652 TUT196652:TVH196652 UEP196652:UFD196652 UOL196652:UOZ196652 UYH196652:UYV196652 VID196652:VIR196652 VRZ196652:VSN196652 WBV196652:WCJ196652 WLR196652:WMF196652 WVN196652:WWB196652 F262188:T262188 JB262188:JP262188 SX262188:TL262188 ACT262188:ADH262188 AMP262188:AND262188 AWL262188:AWZ262188 BGH262188:BGV262188 BQD262188:BQR262188 BZZ262188:CAN262188 CJV262188:CKJ262188 CTR262188:CUF262188 DDN262188:DEB262188 DNJ262188:DNX262188 DXF262188:DXT262188 EHB262188:EHP262188 EQX262188:ERL262188 FAT262188:FBH262188 FKP262188:FLD262188 FUL262188:FUZ262188 GEH262188:GEV262188 GOD262188:GOR262188 GXZ262188:GYN262188 HHV262188:HIJ262188 HRR262188:HSF262188 IBN262188:ICB262188 ILJ262188:ILX262188 IVF262188:IVT262188 JFB262188:JFP262188 JOX262188:JPL262188 JYT262188:JZH262188 KIP262188:KJD262188 KSL262188:KSZ262188 LCH262188:LCV262188 LMD262188:LMR262188 LVZ262188:LWN262188 MFV262188:MGJ262188 MPR262188:MQF262188 MZN262188:NAB262188 NJJ262188:NJX262188 NTF262188:NTT262188 ODB262188:ODP262188 OMX262188:ONL262188 OWT262188:OXH262188 PGP262188:PHD262188 PQL262188:PQZ262188 QAH262188:QAV262188 QKD262188:QKR262188 QTZ262188:QUN262188 RDV262188:REJ262188 RNR262188:ROF262188 RXN262188:RYB262188 SHJ262188:SHX262188 SRF262188:SRT262188 TBB262188:TBP262188 TKX262188:TLL262188 TUT262188:TVH262188 UEP262188:UFD262188 UOL262188:UOZ262188 UYH262188:UYV262188 VID262188:VIR262188 VRZ262188:VSN262188 WBV262188:WCJ262188 WLR262188:WMF262188 WVN262188:WWB262188 F327724:T327724 JB327724:JP327724 SX327724:TL327724 ACT327724:ADH327724 AMP327724:AND327724 AWL327724:AWZ327724 BGH327724:BGV327724 BQD327724:BQR327724 BZZ327724:CAN327724 CJV327724:CKJ327724 CTR327724:CUF327724 DDN327724:DEB327724 DNJ327724:DNX327724 DXF327724:DXT327724 EHB327724:EHP327724 EQX327724:ERL327724 FAT327724:FBH327724 FKP327724:FLD327724 FUL327724:FUZ327724 GEH327724:GEV327724 GOD327724:GOR327724 GXZ327724:GYN327724 HHV327724:HIJ327724 HRR327724:HSF327724 IBN327724:ICB327724 ILJ327724:ILX327724 IVF327724:IVT327724 JFB327724:JFP327724 JOX327724:JPL327724 JYT327724:JZH327724 KIP327724:KJD327724 KSL327724:KSZ327724 LCH327724:LCV327724 LMD327724:LMR327724 LVZ327724:LWN327724 MFV327724:MGJ327724 MPR327724:MQF327724 MZN327724:NAB327724 NJJ327724:NJX327724 NTF327724:NTT327724 ODB327724:ODP327724 OMX327724:ONL327724 OWT327724:OXH327724 PGP327724:PHD327724 PQL327724:PQZ327724 QAH327724:QAV327724 QKD327724:QKR327724 QTZ327724:QUN327724 RDV327724:REJ327724 RNR327724:ROF327724 RXN327724:RYB327724 SHJ327724:SHX327724 SRF327724:SRT327724 TBB327724:TBP327724 TKX327724:TLL327724 TUT327724:TVH327724 UEP327724:UFD327724 UOL327724:UOZ327724 UYH327724:UYV327724 VID327724:VIR327724 VRZ327724:VSN327724 WBV327724:WCJ327724 WLR327724:WMF327724 WVN327724:WWB327724 F393260:T393260 JB393260:JP393260 SX393260:TL393260 ACT393260:ADH393260 AMP393260:AND393260 AWL393260:AWZ393260 BGH393260:BGV393260 BQD393260:BQR393260 BZZ393260:CAN393260 CJV393260:CKJ393260 CTR393260:CUF393260 DDN393260:DEB393260 DNJ393260:DNX393260 DXF393260:DXT393260 EHB393260:EHP393260 EQX393260:ERL393260 FAT393260:FBH393260 FKP393260:FLD393260 FUL393260:FUZ393260 GEH393260:GEV393260 GOD393260:GOR393260 GXZ393260:GYN393260 HHV393260:HIJ393260 HRR393260:HSF393260 IBN393260:ICB393260 ILJ393260:ILX393260 IVF393260:IVT393260 JFB393260:JFP393260 JOX393260:JPL393260 JYT393260:JZH393260 KIP393260:KJD393260 KSL393260:KSZ393260 LCH393260:LCV393260 LMD393260:LMR393260 LVZ393260:LWN393260 MFV393260:MGJ393260 MPR393260:MQF393260 MZN393260:NAB393260 NJJ393260:NJX393260 NTF393260:NTT393260 ODB393260:ODP393260 OMX393260:ONL393260 OWT393260:OXH393260 PGP393260:PHD393260 PQL393260:PQZ393260 QAH393260:QAV393260 QKD393260:QKR393260 QTZ393260:QUN393260 RDV393260:REJ393260 RNR393260:ROF393260 RXN393260:RYB393260 SHJ393260:SHX393260 SRF393260:SRT393260 TBB393260:TBP393260 TKX393260:TLL393260 TUT393260:TVH393260 UEP393260:UFD393260 UOL393260:UOZ393260 UYH393260:UYV393260 VID393260:VIR393260 VRZ393260:VSN393260 WBV393260:WCJ393260 WLR393260:WMF393260 WVN393260:WWB393260 F458796:T458796 JB458796:JP458796 SX458796:TL458796 ACT458796:ADH458796 AMP458796:AND458796 AWL458796:AWZ458796 BGH458796:BGV458796 BQD458796:BQR458796 BZZ458796:CAN458796 CJV458796:CKJ458796 CTR458796:CUF458796 DDN458796:DEB458796 DNJ458796:DNX458796 DXF458796:DXT458796 EHB458796:EHP458796 EQX458796:ERL458796 FAT458796:FBH458796 FKP458796:FLD458796 FUL458796:FUZ458796 GEH458796:GEV458796 GOD458796:GOR458796 GXZ458796:GYN458796 HHV458796:HIJ458796 HRR458796:HSF458796 IBN458796:ICB458796 ILJ458796:ILX458796 IVF458796:IVT458796 JFB458796:JFP458796 JOX458796:JPL458796 JYT458796:JZH458796 KIP458796:KJD458796 KSL458796:KSZ458796 LCH458796:LCV458796 LMD458796:LMR458796 LVZ458796:LWN458796 MFV458796:MGJ458796 MPR458796:MQF458796 MZN458796:NAB458796 NJJ458796:NJX458796 NTF458796:NTT458796 ODB458796:ODP458796 OMX458796:ONL458796 OWT458796:OXH458796 PGP458796:PHD458796 PQL458796:PQZ458796 QAH458796:QAV458796 QKD458796:QKR458796 QTZ458796:QUN458796 RDV458796:REJ458796 RNR458796:ROF458796 RXN458796:RYB458796 SHJ458796:SHX458796 SRF458796:SRT458796 TBB458796:TBP458796 TKX458796:TLL458796 TUT458796:TVH458796 UEP458796:UFD458796 UOL458796:UOZ458796 UYH458796:UYV458796 VID458796:VIR458796 VRZ458796:VSN458796 WBV458796:WCJ458796 WLR458796:WMF458796 WVN458796:WWB458796 F524332:T524332 JB524332:JP524332 SX524332:TL524332 ACT524332:ADH524332 AMP524332:AND524332 AWL524332:AWZ524332 BGH524332:BGV524332 BQD524332:BQR524332 BZZ524332:CAN524332 CJV524332:CKJ524332 CTR524332:CUF524332 DDN524332:DEB524332 DNJ524332:DNX524332 DXF524332:DXT524332 EHB524332:EHP524332 EQX524332:ERL524332 FAT524332:FBH524332 FKP524332:FLD524332 FUL524332:FUZ524332 GEH524332:GEV524332 GOD524332:GOR524332 GXZ524332:GYN524332 HHV524332:HIJ524332 HRR524332:HSF524332 IBN524332:ICB524332 ILJ524332:ILX524332 IVF524332:IVT524332 JFB524332:JFP524332 JOX524332:JPL524332 JYT524332:JZH524332 KIP524332:KJD524332 KSL524332:KSZ524332 LCH524332:LCV524332 LMD524332:LMR524332 LVZ524332:LWN524332 MFV524332:MGJ524332 MPR524332:MQF524332 MZN524332:NAB524332 NJJ524332:NJX524332 NTF524332:NTT524332 ODB524332:ODP524332 OMX524332:ONL524332 OWT524332:OXH524332 PGP524332:PHD524332 PQL524332:PQZ524332 QAH524332:QAV524332 QKD524332:QKR524332 QTZ524332:QUN524332 RDV524332:REJ524332 RNR524332:ROF524332 RXN524332:RYB524332 SHJ524332:SHX524332 SRF524332:SRT524332 TBB524332:TBP524332 TKX524332:TLL524332 TUT524332:TVH524332 UEP524332:UFD524332 UOL524332:UOZ524332 UYH524332:UYV524332 VID524332:VIR524332 VRZ524332:VSN524332 WBV524332:WCJ524332 WLR524332:WMF524332 WVN524332:WWB524332 F589868:T589868 JB589868:JP589868 SX589868:TL589868 ACT589868:ADH589868 AMP589868:AND589868 AWL589868:AWZ589868 BGH589868:BGV589868 BQD589868:BQR589868 BZZ589868:CAN589868 CJV589868:CKJ589868 CTR589868:CUF589868 DDN589868:DEB589868 DNJ589868:DNX589868 DXF589868:DXT589868 EHB589868:EHP589868 EQX589868:ERL589868 FAT589868:FBH589868 FKP589868:FLD589868 FUL589868:FUZ589868 GEH589868:GEV589868 GOD589868:GOR589868 GXZ589868:GYN589868 HHV589868:HIJ589868 HRR589868:HSF589868 IBN589868:ICB589868 ILJ589868:ILX589868 IVF589868:IVT589868 JFB589868:JFP589868 JOX589868:JPL589868 JYT589868:JZH589868 KIP589868:KJD589868 KSL589868:KSZ589868 LCH589868:LCV589868 LMD589868:LMR589868 LVZ589868:LWN589868 MFV589868:MGJ589868 MPR589868:MQF589868 MZN589868:NAB589868 NJJ589868:NJX589868 NTF589868:NTT589868 ODB589868:ODP589868 OMX589868:ONL589868 OWT589868:OXH589868 PGP589868:PHD589868 PQL589868:PQZ589868 QAH589868:QAV589868 QKD589868:QKR589868 QTZ589868:QUN589868 RDV589868:REJ589868 RNR589868:ROF589868 RXN589868:RYB589868 SHJ589868:SHX589868 SRF589868:SRT589868 TBB589868:TBP589868 TKX589868:TLL589868 TUT589868:TVH589868 UEP589868:UFD589868 UOL589868:UOZ589868 UYH589868:UYV589868 VID589868:VIR589868 VRZ589868:VSN589868 WBV589868:WCJ589868 WLR589868:WMF589868 WVN589868:WWB589868 F655404:T655404 JB655404:JP655404 SX655404:TL655404 ACT655404:ADH655404 AMP655404:AND655404 AWL655404:AWZ655404 BGH655404:BGV655404 BQD655404:BQR655404 BZZ655404:CAN655404 CJV655404:CKJ655404 CTR655404:CUF655404 DDN655404:DEB655404 DNJ655404:DNX655404 DXF655404:DXT655404 EHB655404:EHP655404 EQX655404:ERL655404 FAT655404:FBH655404 FKP655404:FLD655404 FUL655404:FUZ655404 GEH655404:GEV655404 GOD655404:GOR655404 GXZ655404:GYN655404 HHV655404:HIJ655404 HRR655404:HSF655404 IBN655404:ICB655404 ILJ655404:ILX655404 IVF655404:IVT655404 JFB655404:JFP655404 JOX655404:JPL655404 JYT655404:JZH655404 KIP655404:KJD655404 KSL655404:KSZ655404 LCH655404:LCV655404 LMD655404:LMR655404 LVZ655404:LWN655404 MFV655404:MGJ655404 MPR655404:MQF655404 MZN655404:NAB655404 NJJ655404:NJX655404 NTF655404:NTT655404 ODB655404:ODP655404 OMX655404:ONL655404 OWT655404:OXH655404 PGP655404:PHD655404 PQL655404:PQZ655404 QAH655404:QAV655404 QKD655404:QKR655404 QTZ655404:QUN655404 RDV655404:REJ655404 RNR655404:ROF655404 RXN655404:RYB655404 SHJ655404:SHX655404 SRF655404:SRT655404 TBB655404:TBP655404 TKX655404:TLL655404 TUT655404:TVH655404 UEP655404:UFD655404 UOL655404:UOZ655404 UYH655404:UYV655404 VID655404:VIR655404 VRZ655404:VSN655404 WBV655404:WCJ655404 WLR655404:WMF655404 WVN655404:WWB655404 F720940:T720940 JB720940:JP720940 SX720940:TL720940 ACT720940:ADH720940 AMP720940:AND720940 AWL720940:AWZ720940 BGH720940:BGV720940 BQD720940:BQR720940 BZZ720940:CAN720940 CJV720940:CKJ720940 CTR720940:CUF720940 DDN720940:DEB720940 DNJ720940:DNX720940 DXF720940:DXT720940 EHB720940:EHP720940 EQX720940:ERL720940 FAT720940:FBH720940 FKP720940:FLD720940 FUL720940:FUZ720940 GEH720940:GEV720940 GOD720940:GOR720940 GXZ720940:GYN720940 HHV720940:HIJ720940 HRR720940:HSF720940 IBN720940:ICB720940 ILJ720940:ILX720940 IVF720940:IVT720940 JFB720940:JFP720940 JOX720940:JPL720940 JYT720940:JZH720940 KIP720940:KJD720940 KSL720940:KSZ720940 LCH720940:LCV720940 LMD720940:LMR720940 LVZ720940:LWN720940 MFV720940:MGJ720940 MPR720940:MQF720940 MZN720940:NAB720940 NJJ720940:NJX720940 NTF720940:NTT720940 ODB720940:ODP720940 OMX720940:ONL720940 OWT720940:OXH720940 PGP720940:PHD720940 PQL720940:PQZ720940 QAH720940:QAV720940 QKD720940:QKR720940 QTZ720940:QUN720940 RDV720940:REJ720940 RNR720940:ROF720940 RXN720940:RYB720940 SHJ720940:SHX720940 SRF720940:SRT720940 TBB720940:TBP720940 TKX720940:TLL720940 TUT720940:TVH720940 UEP720940:UFD720940 UOL720940:UOZ720940 UYH720940:UYV720940 VID720940:VIR720940 VRZ720940:VSN720940 WBV720940:WCJ720940 WLR720940:WMF720940 WVN720940:WWB720940 F786476:T786476 JB786476:JP786476 SX786476:TL786476 ACT786476:ADH786476 AMP786476:AND786476 AWL786476:AWZ786476 BGH786476:BGV786476 BQD786476:BQR786476 BZZ786476:CAN786476 CJV786476:CKJ786476 CTR786476:CUF786476 DDN786476:DEB786476 DNJ786476:DNX786476 DXF786476:DXT786476 EHB786476:EHP786476 EQX786476:ERL786476 FAT786476:FBH786476 FKP786476:FLD786476 FUL786476:FUZ786476 GEH786476:GEV786476 GOD786476:GOR786476 GXZ786476:GYN786476 HHV786476:HIJ786476 HRR786476:HSF786476 IBN786476:ICB786476 ILJ786476:ILX786476 IVF786476:IVT786476 JFB786476:JFP786476 JOX786476:JPL786476 JYT786476:JZH786476 KIP786476:KJD786476 KSL786476:KSZ786476 LCH786476:LCV786476 LMD786476:LMR786476 LVZ786476:LWN786476 MFV786476:MGJ786476 MPR786476:MQF786476 MZN786476:NAB786476 NJJ786476:NJX786476 NTF786476:NTT786476 ODB786476:ODP786476 OMX786476:ONL786476 OWT786476:OXH786476 PGP786476:PHD786476 PQL786476:PQZ786476 QAH786476:QAV786476 QKD786476:QKR786476 QTZ786476:QUN786476 RDV786476:REJ786476 RNR786476:ROF786476 RXN786476:RYB786476 SHJ786476:SHX786476 SRF786476:SRT786476 TBB786476:TBP786476 TKX786476:TLL786476 TUT786476:TVH786476 UEP786476:UFD786476 UOL786476:UOZ786476 UYH786476:UYV786476 VID786476:VIR786476 VRZ786476:VSN786476 WBV786476:WCJ786476 WLR786476:WMF786476 WVN786476:WWB786476 F852012:T852012 JB852012:JP852012 SX852012:TL852012 ACT852012:ADH852012 AMP852012:AND852012 AWL852012:AWZ852012 BGH852012:BGV852012 BQD852012:BQR852012 BZZ852012:CAN852012 CJV852012:CKJ852012 CTR852012:CUF852012 DDN852012:DEB852012 DNJ852012:DNX852012 DXF852012:DXT852012 EHB852012:EHP852012 EQX852012:ERL852012 FAT852012:FBH852012 FKP852012:FLD852012 FUL852012:FUZ852012 GEH852012:GEV852012 GOD852012:GOR852012 GXZ852012:GYN852012 HHV852012:HIJ852012 HRR852012:HSF852012 IBN852012:ICB852012 ILJ852012:ILX852012 IVF852012:IVT852012 JFB852012:JFP852012 JOX852012:JPL852012 JYT852012:JZH852012 KIP852012:KJD852012 KSL852012:KSZ852012 LCH852012:LCV852012 LMD852012:LMR852012 LVZ852012:LWN852012 MFV852012:MGJ852012 MPR852012:MQF852012 MZN852012:NAB852012 NJJ852012:NJX852012 NTF852012:NTT852012 ODB852012:ODP852012 OMX852012:ONL852012 OWT852012:OXH852012 PGP852012:PHD852012 PQL852012:PQZ852012 QAH852012:QAV852012 QKD852012:QKR852012 QTZ852012:QUN852012 RDV852012:REJ852012 RNR852012:ROF852012 RXN852012:RYB852012 SHJ852012:SHX852012 SRF852012:SRT852012 TBB852012:TBP852012 TKX852012:TLL852012 TUT852012:TVH852012 UEP852012:UFD852012 UOL852012:UOZ852012 UYH852012:UYV852012 VID852012:VIR852012 VRZ852012:VSN852012 WBV852012:WCJ852012 WLR852012:WMF852012 WVN852012:WWB852012 F917548:T917548 JB917548:JP917548 SX917548:TL917548 ACT917548:ADH917548 AMP917548:AND917548 AWL917548:AWZ917548 BGH917548:BGV917548 BQD917548:BQR917548 BZZ917548:CAN917548 CJV917548:CKJ917548 CTR917548:CUF917548 DDN917548:DEB917548 DNJ917548:DNX917548 DXF917548:DXT917548 EHB917548:EHP917548 EQX917548:ERL917548 FAT917548:FBH917548 FKP917548:FLD917548 FUL917548:FUZ917548 GEH917548:GEV917548 GOD917548:GOR917548 GXZ917548:GYN917548 HHV917548:HIJ917548 HRR917548:HSF917548 IBN917548:ICB917548 ILJ917548:ILX917548 IVF917548:IVT917548 JFB917548:JFP917548 JOX917548:JPL917548 JYT917548:JZH917548 KIP917548:KJD917548 KSL917548:KSZ917548 LCH917548:LCV917548 LMD917548:LMR917548 LVZ917548:LWN917548 MFV917548:MGJ917548 MPR917548:MQF917548 MZN917548:NAB917548 NJJ917548:NJX917548 NTF917548:NTT917548 ODB917548:ODP917548 OMX917548:ONL917548 OWT917548:OXH917548 PGP917548:PHD917548 PQL917548:PQZ917548 QAH917548:QAV917548 QKD917548:QKR917548 QTZ917548:QUN917548 RDV917548:REJ917548 RNR917548:ROF917548 RXN917548:RYB917548 SHJ917548:SHX917548 SRF917548:SRT917548 TBB917548:TBP917548 TKX917548:TLL917548 TUT917548:TVH917548 UEP917548:UFD917548 UOL917548:UOZ917548 UYH917548:UYV917548 VID917548:VIR917548 VRZ917548:VSN917548 WBV917548:WCJ917548 WLR917548:WMF917548 WVN917548:WWB917548 F983084:T983084 JB983084:JP983084 SX983084:TL983084 ACT983084:ADH983084 AMP983084:AND983084 AWL983084:AWZ983084 BGH983084:BGV983084 BQD983084:BQR983084 BZZ983084:CAN983084 CJV983084:CKJ983084 CTR983084:CUF983084 DDN983084:DEB983084 DNJ983084:DNX983084 DXF983084:DXT983084 EHB983084:EHP983084 EQX983084:ERL983084 FAT983084:FBH983084 FKP983084:FLD983084 FUL983084:FUZ983084 GEH983084:GEV983084 GOD983084:GOR983084 GXZ983084:GYN983084 HHV983084:HIJ983084 HRR983084:HSF983084 IBN983084:ICB983084 ILJ983084:ILX983084 IVF983084:IVT983084 JFB983084:JFP983084 JOX983084:JPL983084 JYT983084:JZH983084 KIP983084:KJD983084 KSL983084:KSZ983084 LCH983084:LCV983084 LMD983084:LMR983084 LVZ983084:LWN983084 MFV983084:MGJ983084 MPR983084:MQF983084 MZN983084:NAB983084 NJJ983084:NJX983084 NTF983084:NTT983084 ODB983084:ODP983084 OMX983084:ONL983084 OWT983084:OXH983084 PGP983084:PHD983084 PQL983084:PQZ983084 QAH983084:QAV983084 QKD983084:QKR983084 QTZ983084:QUN983084 RDV983084:REJ983084 RNR983084:ROF983084 RXN983084:RYB983084 SHJ983084:SHX983084 SRF983084:SRT983084 TBB983084:TBP983084 TKX983084:TLL983084 TUT983084:TVH983084 UEP983084:UFD983084 UOL983084:UOZ983084 UYH983084:UYV983084 VID983084:VIR983084 VRZ983084:VSN983084 WBV983084:WCJ983084 WLR983084:WMF983084 WVN983084:WWB983084" xr:uid="{00000000-0002-0000-0100-000001000000}">
      <formula1>"P,F, "</formula1>
    </dataValidation>
    <dataValidation type="list" allowBlank="1" showInputMessage="1" showErrorMessage="1" sqref="WVN983054:WWB983082 F65550:T65578 JB65550:JP65578 SX65550:TL65578 ACT65550:ADH65578 AMP65550:AND65578 AWL65550:AWZ65578 BGH65550:BGV65578 BQD65550:BQR65578 BZZ65550:CAN65578 CJV65550:CKJ65578 CTR65550:CUF65578 DDN65550:DEB65578 DNJ65550:DNX65578 DXF65550:DXT65578 EHB65550:EHP65578 EQX65550:ERL65578 FAT65550:FBH65578 FKP65550:FLD65578 FUL65550:FUZ65578 GEH65550:GEV65578 GOD65550:GOR65578 GXZ65550:GYN65578 HHV65550:HIJ65578 HRR65550:HSF65578 IBN65550:ICB65578 ILJ65550:ILX65578 IVF65550:IVT65578 JFB65550:JFP65578 JOX65550:JPL65578 JYT65550:JZH65578 KIP65550:KJD65578 KSL65550:KSZ65578 LCH65550:LCV65578 LMD65550:LMR65578 LVZ65550:LWN65578 MFV65550:MGJ65578 MPR65550:MQF65578 MZN65550:NAB65578 NJJ65550:NJX65578 NTF65550:NTT65578 ODB65550:ODP65578 OMX65550:ONL65578 OWT65550:OXH65578 PGP65550:PHD65578 PQL65550:PQZ65578 QAH65550:QAV65578 QKD65550:QKR65578 QTZ65550:QUN65578 RDV65550:REJ65578 RNR65550:ROF65578 RXN65550:RYB65578 SHJ65550:SHX65578 SRF65550:SRT65578 TBB65550:TBP65578 TKX65550:TLL65578 TUT65550:TVH65578 UEP65550:UFD65578 UOL65550:UOZ65578 UYH65550:UYV65578 VID65550:VIR65578 VRZ65550:VSN65578 WBV65550:WCJ65578 WLR65550:WMF65578 WVN65550:WWB65578 F131086:T131114 JB131086:JP131114 SX131086:TL131114 ACT131086:ADH131114 AMP131086:AND131114 AWL131086:AWZ131114 BGH131086:BGV131114 BQD131086:BQR131114 BZZ131086:CAN131114 CJV131086:CKJ131114 CTR131086:CUF131114 DDN131086:DEB131114 DNJ131086:DNX131114 DXF131086:DXT131114 EHB131086:EHP131114 EQX131086:ERL131114 FAT131086:FBH131114 FKP131086:FLD131114 FUL131086:FUZ131114 GEH131086:GEV131114 GOD131086:GOR131114 GXZ131086:GYN131114 HHV131086:HIJ131114 HRR131086:HSF131114 IBN131086:ICB131114 ILJ131086:ILX131114 IVF131086:IVT131114 JFB131086:JFP131114 JOX131086:JPL131114 JYT131086:JZH131114 KIP131086:KJD131114 KSL131086:KSZ131114 LCH131086:LCV131114 LMD131086:LMR131114 LVZ131086:LWN131114 MFV131086:MGJ131114 MPR131086:MQF131114 MZN131086:NAB131114 NJJ131086:NJX131114 NTF131086:NTT131114 ODB131086:ODP131114 OMX131086:ONL131114 OWT131086:OXH131114 PGP131086:PHD131114 PQL131086:PQZ131114 QAH131086:QAV131114 QKD131086:QKR131114 QTZ131086:QUN131114 RDV131086:REJ131114 RNR131086:ROF131114 RXN131086:RYB131114 SHJ131086:SHX131114 SRF131086:SRT131114 TBB131086:TBP131114 TKX131086:TLL131114 TUT131086:TVH131114 UEP131086:UFD131114 UOL131086:UOZ131114 UYH131086:UYV131114 VID131086:VIR131114 VRZ131086:VSN131114 WBV131086:WCJ131114 WLR131086:WMF131114 WVN131086:WWB131114 F196622:T196650 JB196622:JP196650 SX196622:TL196650 ACT196622:ADH196650 AMP196622:AND196650 AWL196622:AWZ196650 BGH196622:BGV196650 BQD196622:BQR196650 BZZ196622:CAN196650 CJV196622:CKJ196650 CTR196622:CUF196650 DDN196622:DEB196650 DNJ196622:DNX196650 DXF196622:DXT196650 EHB196622:EHP196650 EQX196622:ERL196650 FAT196622:FBH196650 FKP196622:FLD196650 FUL196622:FUZ196650 GEH196622:GEV196650 GOD196622:GOR196650 GXZ196622:GYN196650 HHV196622:HIJ196650 HRR196622:HSF196650 IBN196622:ICB196650 ILJ196622:ILX196650 IVF196622:IVT196650 JFB196622:JFP196650 JOX196622:JPL196650 JYT196622:JZH196650 KIP196622:KJD196650 KSL196622:KSZ196650 LCH196622:LCV196650 LMD196622:LMR196650 LVZ196622:LWN196650 MFV196622:MGJ196650 MPR196622:MQF196650 MZN196622:NAB196650 NJJ196622:NJX196650 NTF196622:NTT196650 ODB196622:ODP196650 OMX196622:ONL196650 OWT196622:OXH196650 PGP196622:PHD196650 PQL196622:PQZ196650 QAH196622:QAV196650 QKD196622:QKR196650 QTZ196622:QUN196650 RDV196622:REJ196650 RNR196622:ROF196650 RXN196622:RYB196650 SHJ196622:SHX196650 SRF196622:SRT196650 TBB196622:TBP196650 TKX196622:TLL196650 TUT196622:TVH196650 UEP196622:UFD196650 UOL196622:UOZ196650 UYH196622:UYV196650 VID196622:VIR196650 VRZ196622:VSN196650 WBV196622:WCJ196650 WLR196622:WMF196650 WVN196622:WWB196650 F262158:T262186 JB262158:JP262186 SX262158:TL262186 ACT262158:ADH262186 AMP262158:AND262186 AWL262158:AWZ262186 BGH262158:BGV262186 BQD262158:BQR262186 BZZ262158:CAN262186 CJV262158:CKJ262186 CTR262158:CUF262186 DDN262158:DEB262186 DNJ262158:DNX262186 DXF262158:DXT262186 EHB262158:EHP262186 EQX262158:ERL262186 FAT262158:FBH262186 FKP262158:FLD262186 FUL262158:FUZ262186 GEH262158:GEV262186 GOD262158:GOR262186 GXZ262158:GYN262186 HHV262158:HIJ262186 HRR262158:HSF262186 IBN262158:ICB262186 ILJ262158:ILX262186 IVF262158:IVT262186 JFB262158:JFP262186 JOX262158:JPL262186 JYT262158:JZH262186 KIP262158:KJD262186 KSL262158:KSZ262186 LCH262158:LCV262186 LMD262158:LMR262186 LVZ262158:LWN262186 MFV262158:MGJ262186 MPR262158:MQF262186 MZN262158:NAB262186 NJJ262158:NJX262186 NTF262158:NTT262186 ODB262158:ODP262186 OMX262158:ONL262186 OWT262158:OXH262186 PGP262158:PHD262186 PQL262158:PQZ262186 QAH262158:QAV262186 QKD262158:QKR262186 QTZ262158:QUN262186 RDV262158:REJ262186 RNR262158:ROF262186 RXN262158:RYB262186 SHJ262158:SHX262186 SRF262158:SRT262186 TBB262158:TBP262186 TKX262158:TLL262186 TUT262158:TVH262186 UEP262158:UFD262186 UOL262158:UOZ262186 UYH262158:UYV262186 VID262158:VIR262186 VRZ262158:VSN262186 WBV262158:WCJ262186 WLR262158:WMF262186 WVN262158:WWB262186 F327694:T327722 JB327694:JP327722 SX327694:TL327722 ACT327694:ADH327722 AMP327694:AND327722 AWL327694:AWZ327722 BGH327694:BGV327722 BQD327694:BQR327722 BZZ327694:CAN327722 CJV327694:CKJ327722 CTR327694:CUF327722 DDN327694:DEB327722 DNJ327694:DNX327722 DXF327694:DXT327722 EHB327694:EHP327722 EQX327694:ERL327722 FAT327694:FBH327722 FKP327694:FLD327722 FUL327694:FUZ327722 GEH327694:GEV327722 GOD327694:GOR327722 GXZ327694:GYN327722 HHV327694:HIJ327722 HRR327694:HSF327722 IBN327694:ICB327722 ILJ327694:ILX327722 IVF327694:IVT327722 JFB327694:JFP327722 JOX327694:JPL327722 JYT327694:JZH327722 KIP327694:KJD327722 KSL327694:KSZ327722 LCH327694:LCV327722 LMD327694:LMR327722 LVZ327694:LWN327722 MFV327694:MGJ327722 MPR327694:MQF327722 MZN327694:NAB327722 NJJ327694:NJX327722 NTF327694:NTT327722 ODB327694:ODP327722 OMX327694:ONL327722 OWT327694:OXH327722 PGP327694:PHD327722 PQL327694:PQZ327722 QAH327694:QAV327722 QKD327694:QKR327722 QTZ327694:QUN327722 RDV327694:REJ327722 RNR327694:ROF327722 RXN327694:RYB327722 SHJ327694:SHX327722 SRF327694:SRT327722 TBB327694:TBP327722 TKX327694:TLL327722 TUT327694:TVH327722 UEP327694:UFD327722 UOL327694:UOZ327722 UYH327694:UYV327722 VID327694:VIR327722 VRZ327694:VSN327722 WBV327694:WCJ327722 WLR327694:WMF327722 WVN327694:WWB327722 F393230:T393258 JB393230:JP393258 SX393230:TL393258 ACT393230:ADH393258 AMP393230:AND393258 AWL393230:AWZ393258 BGH393230:BGV393258 BQD393230:BQR393258 BZZ393230:CAN393258 CJV393230:CKJ393258 CTR393230:CUF393258 DDN393230:DEB393258 DNJ393230:DNX393258 DXF393230:DXT393258 EHB393230:EHP393258 EQX393230:ERL393258 FAT393230:FBH393258 FKP393230:FLD393258 FUL393230:FUZ393258 GEH393230:GEV393258 GOD393230:GOR393258 GXZ393230:GYN393258 HHV393230:HIJ393258 HRR393230:HSF393258 IBN393230:ICB393258 ILJ393230:ILX393258 IVF393230:IVT393258 JFB393230:JFP393258 JOX393230:JPL393258 JYT393230:JZH393258 KIP393230:KJD393258 KSL393230:KSZ393258 LCH393230:LCV393258 LMD393230:LMR393258 LVZ393230:LWN393258 MFV393230:MGJ393258 MPR393230:MQF393258 MZN393230:NAB393258 NJJ393230:NJX393258 NTF393230:NTT393258 ODB393230:ODP393258 OMX393230:ONL393258 OWT393230:OXH393258 PGP393230:PHD393258 PQL393230:PQZ393258 QAH393230:QAV393258 QKD393230:QKR393258 QTZ393230:QUN393258 RDV393230:REJ393258 RNR393230:ROF393258 RXN393230:RYB393258 SHJ393230:SHX393258 SRF393230:SRT393258 TBB393230:TBP393258 TKX393230:TLL393258 TUT393230:TVH393258 UEP393230:UFD393258 UOL393230:UOZ393258 UYH393230:UYV393258 VID393230:VIR393258 VRZ393230:VSN393258 WBV393230:WCJ393258 WLR393230:WMF393258 WVN393230:WWB393258 F458766:T458794 JB458766:JP458794 SX458766:TL458794 ACT458766:ADH458794 AMP458766:AND458794 AWL458766:AWZ458794 BGH458766:BGV458794 BQD458766:BQR458794 BZZ458766:CAN458794 CJV458766:CKJ458794 CTR458766:CUF458794 DDN458766:DEB458794 DNJ458766:DNX458794 DXF458766:DXT458794 EHB458766:EHP458794 EQX458766:ERL458794 FAT458766:FBH458794 FKP458766:FLD458794 FUL458766:FUZ458794 GEH458766:GEV458794 GOD458766:GOR458794 GXZ458766:GYN458794 HHV458766:HIJ458794 HRR458766:HSF458794 IBN458766:ICB458794 ILJ458766:ILX458794 IVF458766:IVT458794 JFB458766:JFP458794 JOX458766:JPL458794 JYT458766:JZH458794 KIP458766:KJD458794 KSL458766:KSZ458794 LCH458766:LCV458794 LMD458766:LMR458794 LVZ458766:LWN458794 MFV458766:MGJ458794 MPR458766:MQF458794 MZN458766:NAB458794 NJJ458766:NJX458794 NTF458766:NTT458794 ODB458766:ODP458794 OMX458766:ONL458794 OWT458766:OXH458794 PGP458766:PHD458794 PQL458766:PQZ458794 QAH458766:QAV458794 QKD458766:QKR458794 QTZ458766:QUN458794 RDV458766:REJ458794 RNR458766:ROF458794 RXN458766:RYB458794 SHJ458766:SHX458794 SRF458766:SRT458794 TBB458766:TBP458794 TKX458766:TLL458794 TUT458766:TVH458794 UEP458766:UFD458794 UOL458766:UOZ458794 UYH458766:UYV458794 VID458766:VIR458794 VRZ458766:VSN458794 WBV458766:WCJ458794 WLR458766:WMF458794 WVN458766:WWB458794 F524302:T524330 JB524302:JP524330 SX524302:TL524330 ACT524302:ADH524330 AMP524302:AND524330 AWL524302:AWZ524330 BGH524302:BGV524330 BQD524302:BQR524330 BZZ524302:CAN524330 CJV524302:CKJ524330 CTR524302:CUF524330 DDN524302:DEB524330 DNJ524302:DNX524330 DXF524302:DXT524330 EHB524302:EHP524330 EQX524302:ERL524330 FAT524302:FBH524330 FKP524302:FLD524330 FUL524302:FUZ524330 GEH524302:GEV524330 GOD524302:GOR524330 GXZ524302:GYN524330 HHV524302:HIJ524330 HRR524302:HSF524330 IBN524302:ICB524330 ILJ524302:ILX524330 IVF524302:IVT524330 JFB524302:JFP524330 JOX524302:JPL524330 JYT524302:JZH524330 KIP524302:KJD524330 KSL524302:KSZ524330 LCH524302:LCV524330 LMD524302:LMR524330 LVZ524302:LWN524330 MFV524302:MGJ524330 MPR524302:MQF524330 MZN524302:NAB524330 NJJ524302:NJX524330 NTF524302:NTT524330 ODB524302:ODP524330 OMX524302:ONL524330 OWT524302:OXH524330 PGP524302:PHD524330 PQL524302:PQZ524330 QAH524302:QAV524330 QKD524302:QKR524330 QTZ524302:QUN524330 RDV524302:REJ524330 RNR524302:ROF524330 RXN524302:RYB524330 SHJ524302:SHX524330 SRF524302:SRT524330 TBB524302:TBP524330 TKX524302:TLL524330 TUT524302:TVH524330 UEP524302:UFD524330 UOL524302:UOZ524330 UYH524302:UYV524330 VID524302:VIR524330 VRZ524302:VSN524330 WBV524302:WCJ524330 WLR524302:WMF524330 WVN524302:WWB524330 F589838:T589866 JB589838:JP589866 SX589838:TL589866 ACT589838:ADH589866 AMP589838:AND589866 AWL589838:AWZ589866 BGH589838:BGV589866 BQD589838:BQR589866 BZZ589838:CAN589866 CJV589838:CKJ589866 CTR589838:CUF589866 DDN589838:DEB589866 DNJ589838:DNX589866 DXF589838:DXT589866 EHB589838:EHP589866 EQX589838:ERL589866 FAT589838:FBH589866 FKP589838:FLD589866 FUL589838:FUZ589866 GEH589838:GEV589866 GOD589838:GOR589866 GXZ589838:GYN589866 HHV589838:HIJ589866 HRR589838:HSF589866 IBN589838:ICB589866 ILJ589838:ILX589866 IVF589838:IVT589866 JFB589838:JFP589866 JOX589838:JPL589866 JYT589838:JZH589866 KIP589838:KJD589866 KSL589838:KSZ589866 LCH589838:LCV589866 LMD589838:LMR589866 LVZ589838:LWN589866 MFV589838:MGJ589866 MPR589838:MQF589866 MZN589838:NAB589866 NJJ589838:NJX589866 NTF589838:NTT589866 ODB589838:ODP589866 OMX589838:ONL589866 OWT589838:OXH589866 PGP589838:PHD589866 PQL589838:PQZ589866 QAH589838:QAV589866 QKD589838:QKR589866 QTZ589838:QUN589866 RDV589838:REJ589866 RNR589838:ROF589866 RXN589838:RYB589866 SHJ589838:SHX589866 SRF589838:SRT589866 TBB589838:TBP589866 TKX589838:TLL589866 TUT589838:TVH589866 UEP589838:UFD589866 UOL589838:UOZ589866 UYH589838:UYV589866 VID589838:VIR589866 VRZ589838:VSN589866 WBV589838:WCJ589866 WLR589838:WMF589866 WVN589838:WWB589866 F655374:T655402 JB655374:JP655402 SX655374:TL655402 ACT655374:ADH655402 AMP655374:AND655402 AWL655374:AWZ655402 BGH655374:BGV655402 BQD655374:BQR655402 BZZ655374:CAN655402 CJV655374:CKJ655402 CTR655374:CUF655402 DDN655374:DEB655402 DNJ655374:DNX655402 DXF655374:DXT655402 EHB655374:EHP655402 EQX655374:ERL655402 FAT655374:FBH655402 FKP655374:FLD655402 FUL655374:FUZ655402 GEH655374:GEV655402 GOD655374:GOR655402 GXZ655374:GYN655402 HHV655374:HIJ655402 HRR655374:HSF655402 IBN655374:ICB655402 ILJ655374:ILX655402 IVF655374:IVT655402 JFB655374:JFP655402 JOX655374:JPL655402 JYT655374:JZH655402 KIP655374:KJD655402 KSL655374:KSZ655402 LCH655374:LCV655402 LMD655374:LMR655402 LVZ655374:LWN655402 MFV655374:MGJ655402 MPR655374:MQF655402 MZN655374:NAB655402 NJJ655374:NJX655402 NTF655374:NTT655402 ODB655374:ODP655402 OMX655374:ONL655402 OWT655374:OXH655402 PGP655374:PHD655402 PQL655374:PQZ655402 QAH655374:QAV655402 QKD655374:QKR655402 QTZ655374:QUN655402 RDV655374:REJ655402 RNR655374:ROF655402 RXN655374:RYB655402 SHJ655374:SHX655402 SRF655374:SRT655402 TBB655374:TBP655402 TKX655374:TLL655402 TUT655374:TVH655402 UEP655374:UFD655402 UOL655374:UOZ655402 UYH655374:UYV655402 VID655374:VIR655402 VRZ655374:VSN655402 WBV655374:WCJ655402 WLR655374:WMF655402 WVN655374:WWB655402 F720910:T720938 JB720910:JP720938 SX720910:TL720938 ACT720910:ADH720938 AMP720910:AND720938 AWL720910:AWZ720938 BGH720910:BGV720938 BQD720910:BQR720938 BZZ720910:CAN720938 CJV720910:CKJ720938 CTR720910:CUF720938 DDN720910:DEB720938 DNJ720910:DNX720938 DXF720910:DXT720938 EHB720910:EHP720938 EQX720910:ERL720938 FAT720910:FBH720938 FKP720910:FLD720938 FUL720910:FUZ720938 GEH720910:GEV720938 GOD720910:GOR720938 GXZ720910:GYN720938 HHV720910:HIJ720938 HRR720910:HSF720938 IBN720910:ICB720938 ILJ720910:ILX720938 IVF720910:IVT720938 JFB720910:JFP720938 JOX720910:JPL720938 JYT720910:JZH720938 KIP720910:KJD720938 KSL720910:KSZ720938 LCH720910:LCV720938 LMD720910:LMR720938 LVZ720910:LWN720938 MFV720910:MGJ720938 MPR720910:MQF720938 MZN720910:NAB720938 NJJ720910:NJX720938 NTF720910:NTT720938 ODB720910:ODP720938 OMX720910:ONL720938 OWT720910:OXH720938 PGP720910:PHD720938 PQL720910:PQZ720938 QAH720910:QAV720938 QKD720910:QKR720938 QTZ720910:QUN720938 RDV720910:REJ720938 RNR720910:ROF720938 RXN720910:RYB720938 SHJ720910:SHX720938 SRF720910:SRT720938 TBB720910:TBP720938 TKX720910:TLL720938 TUT720910:TVH720938 UEP720910:UFD720938 UOL720910:UOZ720938 UYH720910:UYV720938 VID720910:VIR720938 VRZ720910:VSN720938 WBV720910:WCJ720938 WLR720910:WMF720938 WVN720910:WWB720938 F786446:T786474 JB786446:JP786474 SX786446:TL786474 ACT786446:ADH786474 AMP786446:AND786474 AWL786446:AWZ786474 BGH786446:BGV786474 BQD786446:BQR786474 BZZ786446:CAN786474 CJV786446:CKJ786474 CTR786446:CUF786474 DDN786446:DEB786474 DNJ786446:DNX786474 DXF786446:DXT786474 EHB786446:EHP786474 EQX786446:ERL786474 FAT786446:FBH786474 FKP786446:FLD786474 FUL786446:FUZ786474 GEH786446:GEV786474 GOD786446:GOR786474 GXZ786446:GYN786474 HHV786446:HIJ786474 HRR786446:HSF786474 IBN786446:ICB786474 ILJ786446:ILX786474 IVF786446:IVT786474 JFB786446:JFP786474 JOX786446:JPL786474 JYT786446:JZH786474 KIP786446:KJD786474 KSL786446:KSZ786474 LCH786446:LCV786474 LMD786446:LMR786474 LVZ786446:LWN786474 MFV786446:MGJ786474 MPR786446:MQF786474 MZN786446:NAB786474 NJJ786446:NJX786474 NTF786446:NTT786474 ODB786446:ODP786474 OMX786446:ONL786474 OWT786446:OXH786474 PGP786446:PHD786474 PQL786446:PQZ786474 QAH786446:QAV786474 QKD786446:QKR786474 QTZ786446:QUN786474 RDV786446:REJ786474 RNR786446:ROF786474 RXN786446:RYB786474 SHJ786446:SHX786474 SRF786446:SRT786474 TBB786446:TBP786474 TKX786446:TLL786474 TUT786446:TVH786474 UEP786446:UFD786474 UOL786446:UOZ786474 UYH786446:UYV786474 VID786446:VIR786474 VRZ786446:VSN786474 WBV786446:WCJ786474 WLR786446:WMF786474 WVN786446:WWB786474 F851982:T852010 JB851982:JP852010 SX851982:TL852010 ACT851982:ADH852010 AMP851982:AND852010 AWL851982:AWZ852010 BGH851982:BGV852010 BQD851982:BQR852010 BZZ851982:CAN852010 CJV851982:CKJ852010 CTR851982:CUF852010 DDN851982:DEB852010 DNJ851982:DNX852010 DXF851982:DXT852010 EHB851982:EHP852010 EQX851982:ERL852010 FAT851982:FBH852010 FKP851982:FLD852010 FUL851982:FUZ852010 GEH851982:GEV852010 GOD851982:GOR852010 GXZ851982:GYN852010 HHV851982:HIJ852010 HRR851982:HSF852010 IBN851982:ICB852010 ILJ851982:ILX852010 IVF851982:IVT852010 JFB851982:JFP852010 JOX851982:JPL852010 JYT851982:JZH852010 KIP851982:KJD852010 KSL851982:KSZ852010 LCH851982:LCV852010 LMD851982:LMR852010 LVZ851982:LWN852010 MFV851982:MGJ852010 MPR851982:MQF852010 MZN851982:NAB852010 NJJ851982:NJX852010 NTF851982:NTT852010 ODB851982:ODP852010 OMX851982:ONL852010 OWT851982:OXH852010 PGP851982:PHD852010 PQL851982:PQZ852010 QAH851982:QAV852010 QKD851982:QKR852010 QTZ851982:QUN852010 RDV851982:REJ852010 RNR851982:ROF852010 RXN851982:RYB852010 SHJ851982:SHX852010 SRF851982:SRT852010 TBB851982:TBP852010 TKX851982:TLL852010 TUT851982:TVH852010 UEP851982:UFD852010 UOL851982:UOZ852010 UYH851982:UYV852010 VID851982:VIR852010 VRZ851982:VSN852010 WBV851982:WCJ852010 WLR851982:WMF852010 WVN851982:WWB852010 F917518:T917546 JB917518:JP917546 SX917518:TL917546 ACT917518:ADH917546 AMP917518:AND917546 AWL917518:AWZ917546 BGH917518:BGV917546 BQD917518:BQR917546 BZZ917518:CAN917546 CJV917518:CKJ917546 CTR917518:CUF917546 DDN917518:DEB917546 DNJ917518:DNX917546 DXF917518:DXT917546 EHB917518:EHP917546 EQX917518:ERL917546 FAT917518:FBH917546 FKP917518:FLD917546 FUL917518:FUZ917546 GEH917518:GEV917546 GOD917518:GOR917546 GXZ917518:GYN917546 HHV917518:HIJ917546 HRR917518:HSF917546 IBN917518:ICB917546 ILJ917518:ILX917546 IVF917518:IVT917546 JFB917518:JFP917546 JOX917518:JPL917546 JYT917518:JZH917546 KIP917518:KJD917546 KSL917518:KSZ917546 LCH917518:LCV917546 LMD917518:LMR917546 LVZ917518:LWN917546 MFV917518:MGJ917546 MPR917518:MQF917546 MZN917518:NAB917546 NJJ917518:NJX917546 NTF917518:NTT917546 ODB917518:ODP917546 OMX917518:ONL917546 OWT917518:OXH917546 PGP917518:PHD917546 PQL917518:PQZ917546 QAH917518:QAV917546 QKD917518:QKR917546 QTZ917518:QUN917546 RDV917518:REJ917546 RNR917518:ROF917546 RXN917518:RYB917546 SHJ917518:SHX917546 SRF917518:SRT917546 TBB917518:TBP917546 TKX917518:TLL917546 TUT917518:TVH917546 UEP917518:UFD917546 UOL917518:UOZ917546 UYH917518:UYV917546 VID917518:VIR917546 VRZ917518:VSN917546 WBV917518:WCJ917546 WLR917518:WMF917546 WVN917518:WWB917546 F983054:T983082 JB983054:JP983082 SX983054:TL983082 ACT983054:ADH983082 AMP983054:AND983082 AWL983054:AWZ983082 BGH983054:BGV983082 BQD983054:BQR983082 BZZ983054:CAN983082 CJV983054:CKJ983082 CTR983054:CUF983082 DDN983054:DEB983082 DNJ983054:DNX983082 DXF983054:DXT983082 EHB983054:EHP983082 EQX983054:ERL983082 FAT983054:FBH983082 FKP983054:FLD983082 FUL983054:FUZ983082 GEH983054:GEV983082 GOD983054:GOR983082 GXZ983054:GYN983082 HHV983054:HIJ983082 HRR983054:HSF983082 IBN983054:ICB983082 ILJ983054:ILX983082 IVF983054:IVT983082 JFB983054:JFP983082 JOX983054:JPL983082 JYT983054:JZH983082 KIP983054:KJD983082 KSL983054:KSZ983082 LCH983054:LCV983082 LMD983054:LMR983082 LVZ983054:LWN983082 MFV983054:MGJ983082 MPR983054:MQF983082 MZN983054:NAB983082 NJJ983054:NJX983082 NTF983054:NTT983082 ODB983054:ODP983082 OMX983054:ONL983082 OWT983054:OXH983082 PGP983054:PHD983082 PQL983054:PQZ983082 QAH983054:QAV983082 QKD983054:QKR983082 QTZ983054:QUN983082 RDV983054:REJ983082 RNR983054:ROF983082 RXN983054:RYB983082 SHJ983054:SHX983082 SRF983054:SRT983082 TBB983054:TBP983082 TKX983054:TLL983082 TUT983054:TVH983082 UEP983054:UFD983082 UOL983054:UOZ983082 UYH983054:UYV983082 VID983054:VIR983082 VRZ983054:VSN983082 WBV983054:WCJ983082 WLR983054:WMF983082 F38:T42 F35:G37 N20 F9:T19 JB9:JP42 F20:M21 O20:T21 SX9:TL42 ACT9:ADH42 AMP9:AND42 AWL9:AWZ42 BGH9:BGV42 BQD9:BQR42 BZZ9:CAN42 CJV9:CKJ42 CTR9:CUF42 DDN9:DEB42 DNJ9:DNX42 DXF9:DXT42 EHB9:EHP42 EQX9:ERL42 FAT9:FBH42 FKP9:FLD42 FUL9:FUZ42 GEH9:GEV42 GOD9:GOR42 GXZ9:GYN42 HHV9:HIJ42 HRR9:HSF42 IBN9:ICB42 ILJ9:ILX42 IVF9:IVT42 JFB9:JFP42 JOX9:JPL42 JYT9:JZH42 KIP9:KJD42 KSL9:KSZ42 LCH9:LCV42 LMD9:LMR42 LVZ9:LWN42 MFV9:MGJ42 MPR9:MQF42 MZN9:NAB42 NJJ9:NJX42 NTF9:NTT42 ODB9:ODP42 OMX9:ONL42 OWT9:OXH42 PGP9:PHD42 PQL9:PQZ42 QAH9:QAV42 QKD9:QKR42 QTZ9:QUN42 RDV9:REJ42 RNR9:ROF42 RXN9:RYB42 SHJ9:SHX42 SRF9:SRT42 TBB9:TBP42 TKX9:TLL42 TUT9:TVH42 UEP9:UFD42 UOL9:UOZ42 UYH9:UYV42 VID9:VIR42 VRZ9:VSN42 WBV9:WCJ42 WLR9:WMF42 WVN9:WWB42 K33 F22:T31 F34:T34 F32:J33 L32:T33 O36 I37:T37 I35:N36 P35:T36" xr:uid="{00000000-0002-0000-0100-000002000000}">
      <formula1>"O, 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topLeftCell="A5" zoomScale="85" zoomScaleNormal="85" workbookViewId="0">
      <selection activeCell="H7" sqref="H7"/>
    </sheetView>
  </sheetViews>
  <sheetFormatPr defaultColWidth="9" defaultRowHeight="10.5"/>
  <cols>
    <col min="1" max="1" width="8.7109375" style="69" customWidth="1"/>
    <col min="2" max="2" width="31.7109375" style="69" customWidth="1"/>
    <col min="3" max="3" width="24.85546875" style="69" bestFit="1" customWidth="1"/>
    <col min="4" max="5" width="37.42578125" style="69" customWidth="1"/>
    <col min="6" max="6" width="8.28515625" style="69" customWidth="1"/>
    <col min="7" max="7" width="15.5703125" style="69" customWidth="1"/>
    <col min="8" max="8" width="17.28515625" style="69" customWidth="1"/>
    <col min="9" max="16384" width="9" style="69"/>
  </cols>
  <sheetData>
    <row r="1" spans="1:8" ht="19.5">
      <c r="A1" s="119" t="s">
        <v>36</v>
      </c>
      <c r="B1" s="119"/>
      <c r="C1" s="119"/>
      <c r="D1" s="119"/>
      <c r="E1" s="119"/>
      <c r="F1" s="119"/>
      <c r="G1" s="119"/>
      <c r="H1" s="119"/>
    </row>
    <row r="2" spans="1:8" ht="12.75">
      <c r="A2" s="70"/>
      <c r="B2" s="70"/>
      <c r="C2" s="71"/>
      <c r="D2" s="72" t="str">
        <f>"Pass: "&amp;COUNTIF($F$6:$F$947,"Pass")</f>
        <v>Pass: 9</v>
      </c>
      <c r="E2" s="73" t="str">
        <f>"Untested: "&amp;COUNTIF($F$6:$F$947,"Untest")</f>
        <v>Untested: 0</v>
      </c>
      <c r="F2" s="70"/>
      <c r="G2" s="74"/>
      <c r="H2" s="74"/>
    </row>
    <row r="3" spans="1:8" ht="25.5">
      <c r="A3" s="75" t="s">
        <v>37</v>
      </c>
      <c r="B3" s="166" t="s">
        <v>79</v>
      </c>
      <c r="C3" s="76"/>
      <c r="D3" s="72" t="str">
        <f>"Fail: "&amp;COUNTIF($F$6:$F$947,"Fail")</f>
        <v>Fail: 0</v>
      </c>
      <c r="E3" s="73" t="str">
        <f>"N/A: "&amp;COUNTIF($F$6:$F$947,"N/A")</f>
        <v>N/A: 0</v>
      </c>
      <c r="F3" s="70"/>
      <c r="G3" s="74"/>
      <c r="H3" s="74"/>
    </row>
    <row r="4" spans="1:8" ht="12.75">
      <c r="A4" s="77" t="s">
        <v>38</v>
      </c>
      <c r="B4" s="166" t="s">
        <v>47</v>
      </c>
      <c r="C4" s="77"/>
      <c r="D4" s="78" t="str">
        <f>"Percent Complete: "&amp;ROUND((COUNTIF($F$6:$F$947,"Pass")*100)/((COUNTA($A$6:$A$947)*5)-COUNTIF($F$6:$F$957,"N/A")),2)&amp;"%"</f>
        <v>Percent Complete: 20%</v>
      </c>
      <c r="E4" s="79" t="str">
        <f>"Number of cases: "&amp;(COUNTA($A$6:$A$947))</f>
        <v>Number of cases: 9</v>
      </c>
      <c r="F4" s="70"/>
      <c r="G4" s="74"/>
      <c r="H4" s="74"/>
    </row>
    <row r="5" spans="1:8" ht="31.5">
      <c r="A5" s="80" t="s">
        <v>39</v>
      </c>
      <c r="B5" s="80" t="s">
        <v>40</v>
      </c>
      <c r="C5" s="80" t="s">
        <v>41</v>
      </c>
      <c r="D5" s="80" t="s">
        <v>42</v>
      </c>
      <c r="E5" s="80" t="s">
        <v>43</v>
      </c>
      <c r="F5" s="80" t="s">
        <v>29</v>
      </c>
      <c r="G5" s="80" t="s">
        <v>44</v>
      </c>
      <c r="H5" s="80" t="s">
        <v>45</v>
      </c>
    </row>
    <row r="6" spans="1:8" ht="42">
      <c r="A6" s="81" t="s">
        <v>46</v>
      </c>
      <c r="B6" s="81" t="s">
        <v>80</v>
      </c>
      <c r="C6" s="82" t="s">
        <v>105</v>
      </c>
      <c r="D6" s="82" t="s">
        <v>106</v>
      </c>
      <c r="E6" s="82" t="s">
        <v>83</v>
      </c>
      <c r="F6" s="81" t="s">
        <v>96</v>
      </c>
      <c r="G6" s="165">
        <v>45967</v>
      </c>
      <c r="H6" s="81" t="s">
        <v>81</v>
      </c>
    </row>
    <row r="7" spans="1:8" ht="63">
      <c r="A7" s="81" t="s">
        <v>82</v>
      </c>
      <c r="B7" s="81" t="s">
        <v>92</v>
      </c>
      <c r="C7" s="82" t="s">
        <v>105</v>
      </c>
      <c r="D7" s="82" t="s">
        <v>107</v>
      </c>
      <c r="E7" s="82" t="s">
        <v>84</v>
      </c>
      <c r="F7" s="81" t="s">
        <v>96</v>
      </c>
      <c r="G7" s="165">
        <v>45967</v>
      </c>
      <c r="H7" s="81" t="s">
        <v>81</v>
      </c>
    </row>
    <row r="8" spans="1:8" ht="63">
      <c r="A8" s="81" t="s">
        <v>85</v>
      </c>
      <c r="B8" s="81" t="s">
        <v>91</v>
      </c>
      <c r="C8" s="82" t="s">
        <v>105</v>
      </c>
      <c r="D8" s="82" t="s">
        <v>108</v>
      </c>
      <c r="E8" s="82" t="s">
        <v>88</v>
      </c>
      <c r="F8" s="81" t="s">
        <v>96</v>
      </c>
      <c r="G8" s="165">
        <v>45967</v>
      </c>
      <c r="H8" s="81" t="s">
        <v>81</v>
      </c>
    </row>
    <row r="9" spans="1:8" ht="63">
      <c r="A9" s="81" t="s">
        <v>86</v>
      </c>
      <c r="B9" s="81" t="s">
        <v>87</v>
      </c>
      <c r="C9" s="82" t="s">
        <v>105</v>
      </c>
      <c r="D9" s="82" t="s">
        <v>109</v>
      </c>
      <c r="E9" s="82" t="s">
        <v>89</v>
      </c>
      <c r="F9" s="81" t="s">
        <v>96</v>
      </c>
      <c r="G9" s="165">
        <v>45967</v>
      </c>
      <c r="H9" s="81" t="s">
        <v>81</v>
      </c>
    </row>
    <row r="10" spans="1:8" ht="63">
      <c r="A10" s="81" t="s">
        <v>90</v>
      </c>
      <c r="B10" s="81" t="s">
        <v>99</v>
      </c>
      <c r="C10" s="82" t="s">
        <v>105</v>
      </c>
      <c r="D10" s="82" t="s">
        <v>110</v>
      </c>
      <c r="E10" s="82" t="s">
        <v>93</v>
      </c>
      <c r="F10" s="81" t="s">
        <v>96</v>
      </c>
      <c r="G10" s="165">
        <v>45967</v>
      </c>
      <c r="H10" s="81" t="s">
        <v>81</v>
      </c>
    </row>
    <row r="11" spans="1:8" ht="63">
      <c r="A11" s="81" t="s">
        <v>94</v>
      </c>
      <c r="B11" s="81" t="s">
        <v>95</v>
      </c>
      <c r="C11" s="82" t="s">
        <v>105</v>
      </c>
      <c r="D11" s="82" t="s">
        <v>112</v>
      </c>
      <c r="E11" s="82" t="s">
        <v>93</v>
      </c>
      <c r="F11" s="81" t="s">
        <v>96</v>
      </c>
      <c r="G11" s="165">
        <v>45967</v>
      </c>
      <c r="H11" s="81" t="s">
        <v>81</v>
      </c>
    </row>
    <row r="12" spans="1:8" ht="63">
      <c r="A12" s="81" t="s">
        <v>97</v>
      </c>
      <c r="B12" s="81" t="s">
        <v>98</v>
      </c>
      <c r="C12" s="82" t="s">
        <v>105</v>
      </c>
      <c r="D12" s="82" t="s">
        <v>111</v>
      </c>
      <c r="E12" s="82" t="s">
        <v>93</v>
      </c>
      <c r="F12" s="81" t="s">
        <v>96</v>
      </c>
      <c r="G12" s="165">
        <v>45967</v>
      </c>
      <c r="H12" s="81" t="s">
        <v>81</v>
      </c>
    </row>
    <row r="13" spans="1:8" ht="63">
      <c r="A13" s="81" t="s">
        <v>100</v>
      </c>
      <c r="B13" s="81" t="s">
        <v>101</v>
      </c>
      <c r="C13" s="82" t="s">
        <v>105</v>
      </c>
      <c r="D13" s="82" t="s">
        <v>113</v>
      </c>
      <c r="E13" s="82" t="s">
        <v>102</v>
      </c>
      <c r="F13" s="81" t="s">
        <v>96</v>
      </c>
      <c r="G13" s="165">
        <v>45967</v>
      </c>
      <c r="H13" s="81" t="s">
        <v>81</v>
      </c>
    </row>
    <row r="14" spans="1:8" ht="63">
      <c r="A14" s="81" t="s">
        <v>103</v>
      </c>
      <c r="B14" s="81" t="s">
        <v>104</v>
      </c>
      <c r="C14" s="82" t="s">
        <v>105</v>
      </c>
      <c r="D14" s="82" t="s">
        <v>114</v>
      </c>
      <c r="E14" s="82" t="s">
        <v>102</v>
      </c>
      <c r="F14" s="81" t="s">
        <v>96</v>
      </c>
      <c r="G14" s="165">
        <v>45967</v>
      </c>
      <c r="H14" s="81" t="s">
        <v>81</v>
      </c>
    </row>
    <row r="17" spans="2:3">
      <c r="B17" s="2" t="s">
        <v>4</v>
      </c>
      <c r="C17" s="3" t="s">
        <v>5</v>
      </c>
    </row>
  </sheetData>
  <mergeCells count="1">
    <mergeCell ref="A1:H1"/>
  </mergeCells>
  <dataValidations count="1">
    <dataValidation type="list" operator="equal" allowBlank="1" sqref="F6:F14" xr:uid="{00000000-0002-0000-0200-000000000000}">
      <formula1>"Pass,Fail,Untest,N/A"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2025-11-06T02:02:29Z</dcterms:modified>
</cp:coreProperties>
</file>