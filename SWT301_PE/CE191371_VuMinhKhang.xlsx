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xr:revisionPtr revIDLastSave="0" documentId="13_ncr:1_{AC0639B3-CFCE-4D2F-92AD-F94F9E2F828E}" xr6:coauthVersionLast="47" xr6:coauthVersionMax="47" xr10:uidLastSave="{00000000-0000-0000-0000-000000000000}"/>
  <bookViews>
    <workbookView xWindow="-120" yWindow="-120" windowWidth="29040" windowHeight="16440" activeTab="2" xr2:uid="{00000000-000D-0000-FFFF-FFFF00000000}"/>
  </bookViews>
  <sheets>
    <sheet name="Q1" sheetId="2" r:id="rId1"/>
    <sheet name="Q2" sheetId="3" r:id="rId2"/>
    <sheet name="Q3"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4" l="1"/>
  <c r="D4" i="4"/>
  <c r="E3" i="4"/>
  <c r="D3" i="4"/>
  <c r="E2" i="4"/>
  <c r="D2" i="4"/>
  <c r="O6" i="3"/>
  <c r="N6" i="3"/>
  <c r="M6" i="3"/>
  <c r="L6" i="3"/>
  <c r="C6" i="3"/>
  <c r="A6" i="3"/>
  <c r="F6"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3" authorId="0" shapeId="0" xr:uid="{00000000-0006-0000-0100-000001000000}">
      <text>
        <r>
          <rPr>
            <b/>
            <sz val="9"/>
            <color indexed="81"/>
            <rFont val="Tahoma"/>
            <family val="2"/>
          </rPr>
          <t>Author:</t>
        </r>
        <r>
          <rPr>
            <sz val="9"/>
            <color indexed="81"/>
            <rFont val="Tahoma"/>
            <family val="2"/>
          </rPr>
          <t xml:space="preserve">
Input number line of code</t>
        </r>
      </text>
    </comment>
    <comment ref="A4" authorId="0" shapeId="0" xr:uid="{00000000-0006-0000-0100-000002000000}">
      <text>
        <r>
          <rPr>
            <sz val="8"/>
            <color indexed="81"/>
            <rFont val="Tahoma"/>
            <family val="2"/>
          </rPr>
          <t xml:space="preserve">Not mandatory
</t>
        </r>
      </text>
    </comment>
    <comment ref="C9" authorId="0" shapeId="0" xr:uid="{00000000-0006-0000-0100-000003000000}">
      <text>
        <r>
          <rPr>
            <sz val="8"/>
            <color indexed="81"/>
            <rFont val="Tahoma"/>
            <family val="2"/>
          </rPr>
          <t>Not mandatory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5" authorId="0" shapeId="0" xr:uid="{00000000-0006-0000-0200-000001000000}">
      <text>
        <r>
          <rPr>
            <b/>
            <sz val="8"/>
            <color indexed="8"/>
            <rFont val="Times New Roman"/>
            <family val="1"/>
          </rPr>
          <t xml:space="preserve">Pass
Fail
Untested
N/A
</t>
        </r>
      </text>
    </comment>
  </commentList>
</comments>
</file>

<file path=xl/sharedStrings.xml><?xml version="1.0" encoding="utf-8"?>
<sst xmlns="http://schemas.openxmlformats.org/spreadsheetml/2006/main" count="216" uniqueCount="106">
  <si>
    <t>Issue No</t>
  </si>
  <si>
    <t>Description</t>
  </si>
  <si>
    <t>Line</t>
  </si>
  <si>
    <t>Detail</t>
  </si>
  <si>
    <t>* Notes:</t>
  </si>
  <si>
    <t xml:space="preserve">Blue text is sample, needed to be deleted in the answer </t>
  </si>
  <si>
    <t>Function Code</t>
  </si>
  <si>
    <t>Function Name</t>
  </si>
  <si>
    <t>Created By</t>
  </si>
  <si>
    <t>Executed By</t>
  </si>
  <si>
    <t>Lines  of code</t>
  </si>
  <si>
    <t>Lack of test cases</t>
  </si>
  <si>
    <t>Test requirement</t>
  </si>
  <si>
    <t>Passed</t>
  </si>
  <si>
    <t>Failed</t>
  </si>
  <si>
    <t>Untested</t>
  </si>
  <si>
    <t>N/A/B</t>
  </si>
  <si>
    <t>Total Test Cases</t>
  </si>
  <si>
    <t>UTCID01</t>
  </si>
  <si>
    <t>UTCID02</t>
  </si>
  <si>
    <t>UTCID03</t>
  </si>
  <si>
    <t>Condition</t>
  </si>
  <si>
    <t xml:space="preserve">Precondition </t>
  </si>
  <si>
    <t>Input condition</t>
  </si>
  <si>
    <t>O</t>
  </si>
  <si>
    <t>null</t>
  </si>
  <si>
    <t>Confirm</t>
  </si>
  <si>
    <t>Return</t>
  </si>
  <si>
    <t>Exception</t>
  </si>
  <si>
    <t>Log message</t>
  </si>
  <si>
    <t>Result</t>
  </si>
  <si>
    <t>Type(N : Normal, A : Abnormal, B : Boundary)</t>
  </si>
  <si>
    <t>N</t>
  </si>
  <si>
    <t>Passed/Failed</t>
  </si>
  <si>
    <t>Executed Date</t>
  </si>
  <si>
    <t>Defect ID</t>
  </si>
  <si>
    <t>Don't edit the grey cell</t>
  </si>
  <si>
    <t>Test case</t>
  </si>
  <si>
    <t>Module Code</t>
  </si>
  <si>
    <t>Tester</t>
  </si>
  <si>
    <t>ID</t>
  </si>
  <si>
    <t>Test Case Description</t>
  </si>
  <si>
    <t>Pre -Condition</t>
  </si>
  <si>
    <t>Test Case Procedure</t>
  </si>
  <si>
    <t>Expected Output</t>
  </si>
  <si>
    <t>Test date
(dd/mm/yyyy)</t>
  </si>
  <si>
    <t>Note</t>
  </si>
  <si>
    <t>TC001</t>
  </si>
  <si>
    <t>Untest</t>
  </si>
  <si>
    <t>public BookingSystem(){}</t>
  </si>
  <si>
    <t>Missing default constructor with no parameter.</t>
  </si>
  <si>
    <t>Assign data type again for variable.</t>
  </si>
  <si>
    <t>this.capacity = capacity</t>
  </si>
  <si>
    <t>bookedSeat &gt;= capacity</t>
  </si>
  <si>
    <t>bookedSeat &lt;= 0</t>
  </si>
  <si>
    <t>Forgot to call the method setCapacity(int capacity) to set and the capacity input.</t>
  </si>
  <si>
    <t>Wrong logic in checking number of booked seats to book more seats.</t>
  </si>
  <si>
    <t>Wrong logic in checking number of booked seats to cancel it.</t>
  </si>
  <si>
    <t>system.setCapacity(-10);</t>
  </si>
  <si>
    <t>Forgot to create a method to set the booked seats.</t>
  </si>
  <si>
    <t>create setBookedSeats(int bookedSeats) for set the bookedSeat attribute and validate the input, if the input is bigger than capacity of bus then set the max for bookedSeat  = capacity</t>
  </si>
  <si>
    <t>customerType</t>
  </si>
  <si>
    <t>"platinum"</t>
  </si>
  <si>
    <t>"gold"</t>
  </si>
  <si>
    <t>"regular"</t>
  </si>
  <si>
    <t>purchaseAmount</t>
  </si>
  <si>
    <t>hasCoupon</t>
  </si>
  <si>
    <t>16.75</t>
  </si>
  <si>
    <t>20.1</t>
  </si>
  <si>
    <t>10.05</t>
  </si>
  <si>
    <t>UTCID11</t>
  </si>
  <si>
    <t>UTCID12</t>
  </si>
  <si>
    <t>UTCID10</t>
  </si>
  <si>
    <t>UTCID09</t>
  </si>
  <si>
    <t>UTCID08</t>
  </si>
  <si>
    <t>UTCID07</t>
  </si>
  <si>
    <t>UTCID06</t>
  </si>
  <si>
    <t>UTCID05</t>
  </si>
  <si>
    <t>UTCID04</t>
  </si>
  <si>
    <t>"Invalid customer type."</t>
  </si>
  <si>
    <t>IllegalArgumentException</t>
  </si>
  <si>
    <t>A</t>
  </si>
  <si>
    <t>Vũ Minh Khang</t>
  </si>
  <si>
    <t xml:space="preserve"> Design and create the minimum number of test cases necessary to achieve 100% statement and decision coverage
necessary to achieve 100% statement and decision coverage</t>
  </si>
  <si>
    <t>calculateDiscount</t>
  </si>
  <si>
    <t>P</t>
  </si>
  <si>
    <t>Shipping Cost Calculator</t>
  </si>
  <si>
    <t>Testing Shipping Cost Caculator fuction</t>
  </si>
  <si>
    <t>User log into system and choose the Shipping Cost Caculator fuction</t>
  </si>
  <si>
    <t>1. Login the system.
2. Click "Shipping Cost Caculator" form in the screen.
3. Click the "Calculate" button.</t>
  </si>
  <si>
    <t>1.The system displays the error message Package 
Weight is required.
2. The system displays the error message Package 
Dimensions are required.
3. the system displays the error message Shipping 
Method is required.</t>
  </si>
  <si>
    <t>TC002</t>
  </si>
  <si>
    <t>1. the system displays the error message Shipping Method is required.</t>
  </si>
  <si>
    <t>1. Login the system.
2. Click "Shipping Cost Caculator" form in the screen.
3. Input the value 50 to Package Weight input field.
4. Input value 10x10x10 to the Package Dimensions input field.
5. Click the "Calculate" button.</t>
  </si>
  <si>
    <t>1. Login the system.
2. Click "Shipping Cost Caculator" form in the screen.
3. Input the value 50 to Package Weight input field.
4. Choose a option in the Shipping Method drop down list.
5. Click the "Calculate" button.</t>
  </si>
  <si>
    <t>TC003</t>
  </si>
  <si>
    <t>TC004</t>
  </si>
  <si>
    <t>1.The system displays the error message Package Weight is required.</t>
  </si>
  <si>
    <t>1. Login the system.
2. Click "Shipping Cost Caculator" form in the screen.
3. Input the value 10x10x10 to Package Dimensions input field.
4. Choose a option in the Shipping Method drop down list.
5. Click the "Calculate" button.</t>
  </si>
  <si>
    <t>1. The system displays the error message Package Dimensions are required.</t>
  </si>
  <si>
    <t>TC005</t>
  </si>
  <si>
    <t>TC006</t>
  </si>
  <si>
    <t>TC007</t>
  </si>
  <si>
    <t>TC008</t>
  </si>
  <si>
    <t>TC009</t>
  </si>
  <si>
    <t>TC010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</si>
</sst>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
    <numFmt numFmtId="165" formatCode="mm/dd"/>
  </numFmts>
  <fonts count="30">
    <font>
      <sz val="11"/>
      <color theme="1"/>
      <name val="Calibri"/>
      <family val="2"/>
      <scheme val="minor"/>
    </font>
    <font>
      <b/>
      <sz val="11"/>
      <color theme="1"/>
      <name val="Calibri"/>
      <family val="2"/>
      <scheme val="minor"/>
    </font>
    <font>
      <sz val="11"/>
      <name val="ＭＳ Ｐゴシック"/>
      <family val="3"/>
      <charset val="128"/>
    </font>
    <font>
      <b/>
      <sz val="8"/>
      <name val="Tahoma"/>
      <family val="2"/>
    </font>
    <font>
      <b/>
      <sz val="8"/>
      <color rgb="FF0070C0"/>
      <name val="Tahoma"/>
      <family val="2"/>
    </font>
    <font>
      <i/>
      <sz val="8"/>
      <color theme="4"/>
      <name val="Tahoma"/>
      <family val="2"/>
    </font>
    <font>
      <sz val="8"/>
      <color theme="4"/>
      <name val="Tahoma"/>
      <family val="2"/>
    </font>
    <font>
      <sz val="8"/>
      <name val="Tahoma"/>
      <family val="2"/>
    </font>
    <font>
      <i/>
      <sz val="8"/>
      <name val="Tahoma"/>
      <family val="2"/>
    </font>
    <font>
      <b/>
      <sz val="10"/>
      <color indexed="9"/>
      <name val="Tahoma"/>
      <family val="2"/>
    </font>
    <font>
      <sz val="8"/>
      <color indexed="9"/>
      <name val="Tahoma"/>
      <family val="2"/>
    </font>
    <font>
      <b/>
      <sz val="8"/>
      <color theme="1"/>
      <name val="Tahoma"/>
      <family val="2"/>
    </font>
    <font>
      <b/>
      <sz val="8"/>
      <color indexed="9"/>
      <name val="Tahoma"/>
      <family val="2"/>
    </font>
    <font>
      <b/>
      <sz val="12"/>
      <name val="Tahoma"/>
      <family val="2"/>
    </font>
    <font>
      <sz val="11"/>
      <name val="Tahoma"/>
      <family val="2"/>
    </font>
    <font>
      <sz val="8"/>
      <color indexed="17"/>
      <name val="Tahoma"/>
      <family val="2"/>
    </font>
    <font>
      <b/>
      <sz val="9"/>
      <color indexed="81"/>
      <name val="Tahoma"/>
      <family val="2"/>
    </font>
    <font>
      <sz val="9"/>
      <color indexed="81"/>
      <name val="Tahoma"/>
      <family val="2"/>
    </font>
    <font>
      <sz val="8"/>
      <color indexed="81"/>
      <name val="Tahoma"/>
      <family val="2"/>
    </font>
    <font>
      <b/>
      <sz val="16"/>
      <name val="Tahoma"/>
      <family val="2"/>
    </font>
    <font>
      <sz val="10"/>
      <color theme="1"/>
      <name val="Calibri"/>
      <family val="2"/>
      <scheme val="minor"/>
    </font>
    <font>
      <u/>
      <sz val="11"/>
      <color theme="10"/>
      <name val="Calibri"/>
      <family val="2"/>
      <scheme val="minor"/>
    </font>
    <font>
      <b/>
      <u/>
      <sz val="10"/>
      <color indexed="12"/>
      <name val="Tahoma"/>
      <family val="2"/>
    </font>
    <font>
      <sz val="10"/>
      <name val="Tahoma"/>
      <family val="2"/>
    </font>
    <font>
      <b/>
      <sz val="10"/>
      <name val="Tahoma"/>
      <family val="2"/>
    </font>
    <font>
      <b/>
      <sz val="8"/>
      <color indexed="8"/>
      <name val="Times New Roman"/>
      <family val="1"/>
    </font>
    <font>
      <sz val="8"/>
      <color theme="1"/>
      <name val="Tahoma"/>
      <family val="2"/>
    </font>
    <font>
      <sz val="11"/>
      <color theme="1"/>
      <name val="Tahoma"/>
      <family val="2"/>
    </font>
    <font>
      <i/>
      <sz val="8"/>
      <color theme="1"/>
      <name val="Tahoma"/>
      <family val="2"/>
    </font>
    <font>
      <sz val="10"/>
      <color theme="1"/>
      <name val="Tahoma"/>
      <family val="2"/>
    </font>
  </fonts>
  <fills count="9">
    <fill>
      <patternFill patternType="none"/>
    </fill>
    <fill>
      <patternFill patternType="gray125"/>
    </fill>
    <fill>
      <patternFill patternType="solid">
        <fgColor theme="0" tint="-0.249977111117893"/>
        <bgColor indexed="64"/>
      </patternFill>
    </fill>
    <fill>
      <patternFill patternType="solid">
        <fgColor theme="0" tint="-0.249977111117893"/>
        <bgColor indexed="26"/>
      </patternFill>
    </fill>
    <fill>
      <patternFill patternType="solid">
        <fgColor indexed="9"/>
        <bgColor indexed="26"/>
      </patternFill>
    </fill>
    <fill>
      <patternFill patternType="solid">
        <fgColor theme="0" tint="-0.249977111117893"/>
        <bgColor indexed="32"/>
      </patternFill>
    </fill>
    <fill>
      <patternFill patternType="solid">
        <fgColor indexed="9"/>
        <bgColor indexed="64"/>
      </patternFill>
    </fill>
    <fill>
      <patternFill patternType="solid">
        <fgColor theme="0"/>
        <bgColor indexed="64"/>
      </patternFill>
    </fill>
    <fill>
      <patternFill patternType="solid">
        <fgColor theme="4" tint="0.39997558519241921"/>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style="medium">
        <color indexed="8"/>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8"/>
      </right>
      <top style="medium">
        <color indexed="64"/>
      </top>
      <bottom style="thin">
        <color indexed="64"/>
      </bottom>
      <diagonal/>
    </border>
    <border>
      <left style="medium">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64"/>
      </right>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8"/>
      </right>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64"/>
      </left>
      <right/>
      <top style="thin">
        <color indexed="8"/>
      </top>
      <bottom style="thin">
        <color indexed="8"/>
      </bottom>
      <diagonal/>
    </border>
    <border>
      <left/>
      <right style="medium">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bottom style="thin">
        <color indexed="8"/>
      </bottom>
      <diagonal/>
    </border>
    <border>
      <left/>
      <right style="thin">
        <color indexed="64"/>
      </right>
      <top style="thin">
        <color indexed="8"/>
      </top>
      <bottom style="thin">
        <color indexed="8"/>
      </bottom>
      <diagonal/>
    </border>
    <border>
      <left/>
      <right style="medium">
        <color indexed="64"/>
      </right>
      <top style="thin">
        <color indexed="8"/>
      </top>
      <bottom style="thin">
        <color indexed="8"/>
      </bottom>
      <diagonal/>
    </border>
    <border>
      <left style="medium">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right/>
      <top style="thin">
        <color indexed="8"/>
      </top>
      <bottom style="medium">
        <color indexed="8"/>
      </bottom>
      <diagonal/>
    </border>
    <border>
      <left/>
      <right style="thin">
        <color indexed="64"/>
      </right>
      <top style="thin">
        <color indexed="8"/>
      </top>
      <bottom style="medium">
        <color indexed="8"/>
      </bottom>
      <diagonal/>
    </border>
    <border>
      <left style="thin">
        <color indexed="64"/>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bottom style="thin">
        <color indexed="64"/>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diagonal/>
    </border>
    <border>
      <left/>
      <right style="thin">
        <color indexed="64"/>
      </right>
      <top/>
      <bottom/>
      <diagonal/>
    </border>
    <border>
      <left style="thin">
        <color indexed="64"/>
      </left>
      <right style="medium">
        <color indexed="64"/>
      </right>
      <top style="thin">
        <color indexed="64"/>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indexed="8"/>
      </left>
      <right style="hair">
        <color indexed="8"/>
      </right>
      <top style="hair">
        <color indexed="8"/>
      </top>
      <bottom style="hair">
        <color indexed="8"/>
      </bottom>
      <diagonal/>
    </border>
    <border>
      <left style="hair">
        <color indexed="8"/>
      </left>
      <right style="hair">
        <color indexed="8"/>
      </right>
      <top style="hair">
        <color indexed="8"/>
      </top>
      <bottom/>
      <diagonal/>
    </border>
  </borders>
  <cellStyleXfs count="4">
    <xf numFmtId="0" fontId="0" fillId="0" borderId="0"/>
    <xf numFmtId="0" fontId="2" fillId="0" borderId="0"/>
    <xf numFmtId="0" fontId="2" fillId="0" borderId="0"/>
    <xf numFmtId="0" fontId="21" fillId="0" borderId="0" applyNumberFormat="0" applyFill="0" applyBorder="0" applyAlignment="0" applyProtection="0"/>
  </cellStyleXfs>
  <cellXfs count="159">
    <xf numFmtId="0" fontId="0" fillId="0" borderId="0" xfId="0"/>
    <xf numFmtId="0" fontId="1" fillId="2" borderId="1" xfId="0" applyFont="1" applyFill="1" applyBorder="1" applyAlignment="1">
      <alignment horizontal="center"/>
    </xf>
    <xf numFmtId="0" fontId="3" fillId="0" borderId="0" xfId="1" applyFont="1"/>
    <xf numFmtId="0" fontId="4" fillId="0" borderId="0" xfId="1" applyFont="1"/>
    <xf numFmtId="0" fontId="7" fillId="0" borderId="0" xfId="1" applyFont="1"/>
    <xf numFmtId="0" fontId="7" fillId="0" borderId="0" xfId="1" applyFont="1" applyAlignment="1">
      <alignment horizontal="center"/>
    </xf>
    <xf numFmtId="0" fontId="8" fillId="4" borderId="12" xfId="2" applyFont="1" applyFill="1" applyBorder="1" applyAlignment="1">
      <alignment wrapText="1"/>
    </xf>
    <xf numFmtId="0" fontId="8" fillId="4" borderId="17" xfId="2" applyFont="1" applyFill="1" applyBorder="1" applyAlignment="1">
      <alignment wrapText="1"/>
    </xf>
    <xf numFmtId="0" fontId="8" fillId="4" borderId="19" xfId="2" applyFont="1" applyFill="1" applyBorder="1" applyAlignment="1">
      <alignment horizontal="left" wrapText="1"/>
    </xf>
    <xf numFmtId="0" fontId="7" fillId="3" borderId="31" xfId="1" applyFont="1" applyFill="1" applyBorder="1" applyAlignment="1">
      <alignment horizontal="center" vertical="center"/>
    </xf>
    <xf numFmtId="0" fontId="7" fillId="0" borderId="33" xfId="1" applyFont="1" applyBorder="1"/>
    <xf numFmtId="0" fontId="3" fillId="0" borderId="0" xfId="1" applyFont="1" applyAlignment="1">
      <alignment horizontal="left"/>
    </xf>
    <xf numFmtId="0" fontId="7" fillId="0" borderId="0" xfId="1" applyFont="1" applyAlignment="1">
      <alignment horizontal="right"/>
    </xf>
    <xf numFmtId="0" fontId="10" fillId="2" borderId="35" xfId="1" applyFont="1" applyFill="1" applyBorder="1"/>
    <xf numFmtId="0" fontId="11" fillId="2" borderId="36" xfId="1" applyFont="1" applyFill="1" applyBorder="1" applyAlignment="1">
      <alignment vertical="top" textRotation="180"/>
    </xf>
    <xf numFmtId="0" fontId="12" fillId="2" borderId="36" xfId="1" applyFont="1" applyFill="1" applyBorder="1" applyAlignment="1">
      <alignment vertical="top" textRotation="180"/>
    </xf>
    <xf numFmtId="0" fontId="12" fillId="2" borderId="37" xfId="1" applyFont="1" applyFill="1" applyBorder="1" applyAlignment="1">
      <alignment vertical="top" textRotation="180"/>
    </xf>
    <xf numFmtId="49" fontId="7" fillId="0" borderId="0" xfId="1" applyNumberFormat="1" applyFont="1" applyAlignment="1">
      <alignment horizontal="center"/>
    </xf>
    <xf numFmtId="0" fontId="11" fillId="2" borderId="38" xfId="1" applyFont="1" applyFill="1" applyBorder="1" applyAlignment="1">
      <alignment vertical="center"/>
    </xf>
    <xf numFmtId="0" fontId="3" fillId="6" borderId="39" xfId="1" applyFont="1" applyFill="1" applyBorder="1" applyAlignment="1">
      <alignment horizontal="left" vertical="top"/>
    </xf>
    <xf numFmtId="0" fontId="7" fillId="6" borderId="3" xfId="1" applyFont="1" applyFill="1" applyBorder="1" applyAlignment="1">
      <alignment horizontal="center" vertical="top"/>
    </xf>
    <xf numFmtId="0" fontId="7" fillId="6" borderId="5" xfId="1" applyFont="1" applyFill="1" applyBorder="1" applyAlignment="1">
      <alignment horizontal="right" vertical="top"/>
    </xf>
    <xf numFmtId="0" fontId="13" fillId="0" borderId="41" xfId="1" applyFont="1" applyBorder="1" applyAlignment="1">
      <alignment horizontal="center"/>
    </xf>
    <xf numFmtId="0" fontId="13" fillId="0" borderId="42" xfId="1" applyFont="1" applyBorder="1" applyAlignment="1">
      <alignment horizontal="center"/>
    </xf>
    <xf numFmtId="0" fontId="11" fillId="2" borderId="43" xfId="1" applyFont="1" applyFill="1" applyBorder="1" applyAlignment="1">
      <alignment vertical="center"/>
    </xf>
    <xf numFmtId="0" fontId="3" fillId="6" borderId="15" xfId="1" applyFont="1" applyFill="1" applyBorder="1" applyAlignment="1">
      <alignment horizontal="left" vertical="top"/>
    </xf>
    <xf numFmtId="0" fontId="7" fillId="6" borderId="15" xfId="1" applyFont="1" applyFill="1" applyBorder="1" applyAlignment="1">
      <alignment horizontal="center" vertical="top"/>
    </xf>
    <xf numFmtId="0" fontId="6" fillId="6" borderId="16" xfId="1" applyFont="1" applyFill="1" applyBorder="1" applyAlignment="1">
      <alignment horizontal="right" vertical="top"/>
    </xf>
    <xf numFmtId="0" fontId="13" fillId="0" borderId="1" xfId="1" applyFont="1" applyBorder="1" applyAlignment="1">
      <alignment horizontal="center"/>
    </xf>
    <xf numFmtId="0" fontId="13" fillId="0" borderId="45" xfId="1" applyFont="1" applyBorder="1" applyAlignment="1">
      <alignment horizontal="center"/>
    </xf>
    <xf numFmtId="0" fontId="6" fillId="0" borderId="44" xfId="1" applyFont="1" applyBorder="1" applyAlignment="1">
      <alignment vertical="top"/>
    </xf>
    <xf numFmtId="0" fontId="3" fillId="0" borderId="0" xfId="1" applyFont="1" applyAlignment="1">
      <alignment horizontal="center"/>
    </xf>
    <xf numFmtId="0" fontId="11" fillId="2" borderId="48" xfId="1" applyFont="1" applyFill="1" applyBorder="1" applyAlignment="1">
      <alignment vertical="center"/>
    </xf>
    <xf numFmtId="0" fontId="13" fillId="0" borderId="52" xfId="1" applyFont="1" applyBorder="1" applyAlignment="1">
      <alignment horizontal="center"/>
    </xf>
    <xf numFmtId="0" fontId="13" fillId="0" borderId="53" xfId="1" applyFont="1" applyBorder="1" applyAlignment="1">
      <alignment horizontal="center"/>
    </xf>
    <xf numFmtId="0" fontId="11" fillId="2" borderId="38" xfId="1" applyFont="1" applyFill="1" applyBorder="1" applyAlignment="1">
      <alignment vertical="top"/>
    </xf>
    <xf numFmtId="0" fontId="3" fillId="6" borderId="54" xfId="1" applyFont="1" applyFill="1" applyBorder="1"/>
    <xf numFmtId="0" fontId="3" fillId="6" borderId="3" xfId="1" applyFont="1" applyFill="1" applyBorder="1"/>
    <xf numFmtId="0" fontId="7" fillId="6" borderId="5" xfId="1" applyFont="1" applyFill="1" applyBorder="1" applyAlignment="1">
      <alignment horizontal="right"/>
    </xf>
    <xf numFmtId="0" fontId="13" fillId="0" borderId="55" xfId="1" applyFont="1" applyBorder="1" applyAlignment="1">
      <alignment horizontal="center"/>
    </xf>
    <xf numFmtId="0" fontId="13" fillId="0" borderId="56" xfId="1" applyFont="1" applyBorder="1" applyAlignment="1">
      <alignment horizontal="center"/>
    </xf>
    <xf numFmtId="0" fontId="11" fillId="2" borderId="43" xfId="1" applyFont="1" applyFill="1" applyBorder="1" applyAlignment="1">
      <alignment vertical="top"/>
    </xf>
    <xf numFmtId="0" fontId="3" fillId="6" borderId="47" xfId="1" applyFont="1" applyFill="1" applyBorder="1"/>
    <xf numFmtId="0" fontId="14" fillId="6" borderId="15" xfId="1" applyFont="1" applyFill="1" applyBorder="1"/>
    <xf numFmtId="0" fontId="7" fillId="6" borderId="16" xfId="1" applyFont="1" applyFill="1" applyBorder="1" applyAlignment="1">
      <alignment horizontal="right"/>
    </xf>
    <xf numFmtId="0" fontId="11" fillId="2" borderId="48" xfId="1" applyFont="1" applyFill="1" applyBorder="1" applyAlignment="1">
      <alignment vertical="top"/>
    </xf>
    <xf numFmtId="0" fontId="13" fillId="0" borderId="60" xfId="1" applyFont="1" applyBorder="1" applyAlignment="1">
      <alignment horizontal="center"/>
    </xf>
    <xf numFmtId="0" fontId="13" fillId="0" borderId="61" xfId="1" applyFont="1" applyBorder="1" applyAlignment="1">
      <alignment horizontal="center"/>
    </xf>
    <xf numFmtId="0" fontId="7" fillId="0" borderId="41" xfId="1" applyFont="1" applyBorder="1" applyAlignment="1">
      <alignment horizontal="left"/>
    </xf>
    <xf numFmtId="0" fontId="7" fillId="0" borderId="41" xfId="1" applyFont="1" applyBorder="1" applyAlignment="1">
      <alignment horizontal="center"/>
    </xf>
    <xf numFmtId="0" fontId="7" fillId="0" borderId="42" xfId="1" applyFont="1" applyBorder="1" applyAlignment="1">
      <alignment horizontal="center"/>
    </xf>
    <xf numFmtId="0" fontId="15" fillId="0" borderId="1" xfId="1" applyFont="1" applyBorder="1" applyAlignment="1">
      <alignment horizontal="left"/>
    </xf>
    <xf numFmtId="0" fontId="7" fillId="0" borderId="1" xfId="1" applyFont="1" applyBorder="1" applyAlignment="1">
      <alignment horizontal="center"/>
    </xf>
    <xf numFmtId="0" fontId="7" fillId="0" borderId="45" xfId="1" applyFont="1" applyBorder="1" applyAlignment="1">
      <alignment horizontal="center"/>
    </xf>
    <xf numFmtId="0" fontId="7" fillId="0" borderId="1" xfId="1" applyFont="1" applyBorder="1"/>
    <xf numFmtId="165" fontId="7" fillId="0" borderId="1" xfId="1" applyNumberFormat="1" applyFont="1" applyBorder="1" applyAlignment="1">
      <alignment vertical="top" textRotation="255"/>
    </xf>
    <xf numFmtId="165" fontId="7" fillId="0" borderId="45" xfId="1" applyNumberFormat="1" applyFont="1" applyBorder="1" applyAlignment="1">
      <alignment vertical="top" textRotation="255"/>
    </xf>
    <xf numFmtId="0" fontId="7" fillId="0" borderId="60" xfId="1" applyFont="1" applyBorder="1"/>
    <xf numFmtId="0" fontId="7" fillId="0" borderId="60" xfId="1" applyFont="1" applyBorder="1" applyAlignment="1">
      <alignment textRotation="255"/>
    </xf>
    <xf numFmtId="0" fontId="7" fillId="0" borderId="61" xfId="1" applyFont="1" applyBorder="1" applyAlignment="1">
      <alignment textRotation="255"/>
    </xf>
    <xf numFmtId="0" fontId="12" fillId="0" borderId="0" xfId="1" applyFont="1" applyAlignment="1">
      <alignment vertical="top"/>
    </xf>
    <xf numFmtId="0" fontId="7" fillId="2" borderId="0" xfId="1" applyFont="1" applyFill="1"/>
    <xf numFmtId="0" fontId="3" fillId="2" borderId="0" xfId="1" applyFont="1" applyFill="1" applyAlignment="1">
      <alignment horizontal="left"/>
    </xf>
    <xf numFmtId="0" fontId="7" fillId="0" borderId="0" xfId="0" applyFont="1"/>
    <xf numFmtId="0" fontId="20" fillId="0" borderId="0" xfId="0" applyFont="1"/>
    <xf numFmtId="0" fontId="22" fillId="0" borderId="62" xfId="3" applyFont="1" applyFill="1" applyBorder="1" applyAlignment="1">
      <alignment horizontal="left" vertical="top" wrapText="1"/>
    </xf>
    <xf numFmtId="0" fontId="23" fillId="0" borderId="62" xfId="0" applyFont="1" applyBorder="1" applyAlignment="1">
      <alignment horizontal="left" vertical="top" wrapText="1"/>
    </xf>
    <xf numFmtId="0" fontId="23" fillId="0" borderId="62" xfId="0" applyFont="1" applyBorder="1" applyAlignment="1">
      <alignment vertical="top" wrapText="1"/>
    </xf>
    <xf numFmtId="0" fontId="23" fillId="0" borderId="0" xfId="0" applyFont="1"/>
    <xf numFmtId="0" fontId="24" fillId="0" borderId="62" xfId="2" applyFont="1" applyBorder="1" applyAlignment="1">
      <alignment horizontal="left" vertical="top" wrapText="1"/>
    </xf>
    <xf numFmtId="0" fontId="23" fillId="0" borderId="62" xfId="2" applyFont="1" applyBorder="1" applyAlignment="1">
      <alignment horizontal="left" vertical="top" wrapText="1"/>
    </xf>
    <xf numFmtId="0" fontId="24" fillId="0" borderId="63" xfId="2" applyFont="1" applyBorder="1" applyAlignment="1">
      <alignment horizontal="left" vertical="top" wrapText="1"/>
    </xf>
    <xf numFmtId="0" fontId="23" fillId="0" borderId="63" xfId="0" applyFont="1" applyBorder="1" applyAlignment="1">
      <alignment horizontal="left" vertical="top" wrapText="1"/>
    </xf>
    <xf numFmtId="2" fontId="23" fillId="0" borderId="63" xfId="0" applyNumberFormat="1" applyFont="1" applyBorder="1" applyAlignment="1">
      <alignment vertical="top" wrapText="1"/>
    </xf>
    <xf numFmtId="0" fontId="3" fillId="5" borderId="1" xfId="2" applyFont="1" applyFill="1" applyBorder="1" applyAlignment="1">
      <alignment horizontal="center" vertical="center" wrapText="1"/>
    </xf>
    <xf numFmtId="0" fontId="8" fillId="8" borderId="40" xfId="1" applyFont="1" applyFill="1" applyBorder="1" applyAlignment="1">
      <alignment horizontal="right"/>
    </xf>
    <xf numFmtId="0" fontId="5" fillId="8" borderId="44" xfId="1" applyFont="1" applyFill="1" applyBorder="1" applyAlignment="1">
      <alignment horizontal="right"/>
    </xf>
    <xf numFmtId="0" fontId="7" fillId="8" borderId="55" xfId="1" applyFont="1" applyFill="1" applyBorder="1" applyAlignment="1">
      <alignment horizontal="left"/>
    </xf>
    <xf numFmtId="0" fontId="7" fillId="8" borderId="1" xfId="1" applyFont="1" applyFill="1" applyBorder="1"/>
    <xf numFmtId="0" fontId="7" fillId="8" borderId="60" xfId="1" applyFont="1" applyFill="1" applyBorder="1" applyAlignment="1">
      <alignment horizontal="left"/>
    </xf>
    <xf numFmtId="0" fontId="0" fillId="0" borderId="1" xfId="0" applyBorder="1" applyAlignment="1">
      <alignment horizontal="center" vertical="top"/>
    </xf>
    <xf numFmtId="0" fontId="0" fillId="0" borderId="1" xfId="0" applyBorder="1" applyAlignment="1">
      <alignment vertical="top" wrapText="1"/>
    </xf>
    <xf numFmtId="0" fontId="0" fillId="0" borderId="1" xfId="0" applyBorder="1" applyAlignment="1">
      <alignment horizontal="right" vertical="top" wrapText="1"/>
    </xf>
    <xf numFmtId="0" fontId="0" fillId="0" borderId="1" xfId="0" applyBorder="1" applyAlignment="1">
      <alignment vertical="top"/>
    </xf>
    <xf numFmtId="0" fontId="0" fillId="0" borderId="1" xfId="0" applyBorder="1" applyAlignment="1">
      <alignment horizontal="right" vertical="top"/>
    </xf>
    <xf numFmtId="0" fontId="26" fillId="6" borderId="16" xfId="1" applyFont="1" applyFill="1" applyBorder="1" applyAlignment="1">
      <alignment horizontal="right" vertical="top"/>
    </xf>
    <xf numFmtId="0" fontId="26" fillId="6" borderId="51" xfId="1" applyFont="1" applyFill="1" applyBorder="1" applyAlignment="1">
      <alignment horizontal="right" vertical="top"/>
    </xf>
    <xf numFmtId="0" fontId="11" fillId="6" borderId="15" xfId="1" applyFont="1" applyFill="1" applyBorder="1" applyAlignment="1">
      <alignment horizontal="left" vertical="top"/>
    </xf>
    <xf numFmtId="0" fontId="26" fillId="6" borderId="15" xfId="1" applyFont="1" applyFill="1" applyBorder="1" applyAlignment="1">
      <alignment horizontal="center" vertical="top"/>
    </xf>
    <xf numFmtId="0" fontId="26" fillId="8" borderId="44" xfId="1" applyFont="1" applyFill="1" applyBorder="1" applyAlignment="1">
      <alignment horizontal="right"/>
    </xf>
    <xf numFmtId="0" fontId="11" fillId="6" borderId="47" xfId="1" applyFont="1" applyFill="1" applyBorder="1" applyAlignment="1">
      <alignment horizontal="left" vertical="top"/>
    </xf>
    <xf numFmtId="0" fontId="11" fillId="6" borderId="49" xfId="1" applyFont="1" applyFill="1" applyBorder="1" applyAlignment="1">
      <alignment horizontal="left" vertical="top"/>
    </xf>
    <xf numFmtId="0" fontId="26" fillId="6" borderId="50" xfId="1" applyFont="1" applyFill="1" applyBorder="1" applyAlignment="1">
      <alignment horizontal="center" vertical="top"/>
    </xf>
    <xf numFmtId="0" fontId="26" fillId="6" borderId="16" xfId="1" applyFont="1" applyFill="1" applyBorder="1" applyAlignment="1">
      <alignment horizontal="right"/>
    </xf>
    <xf numFmtId="0" fontId="11" fillId="6" borderId="47" xfId="1" applyFont="1" applyFill="1" applyBorder="1"/>
    <xf numFmtId="0" fontId="27" fillId="6" borderId="15" xfId="1" applyFont="1" applyFill="1" applyBorder="1"/>
    <xf numFmtId="0" fontId="11" fillId="6" borderId="57" xfId="1" applyFont="1" applyFill="1" applyBorder="1"/>
    <xf numFmtId="0" fontId="26" fillId="6" borderId="58" xfId="1" applyFont="1" applyFill="1" applyBorder="1"/>
    <xf numFmtId="0" fontId="26" fillId="6" borderId="59" xfId="1" applyFont="1" applyFill="1" applyBorder="1" applyAlignment="1">
      <alignment horizontal="right"/>
    </xf>
    <xf numFmtId="0" fontId="26" fillId="7" borderId="1" xfId="0" applyFont="1" applyFill="1" applyBorder="1" applyAlignment="1">
      <alignment horizontal="left" vertical="top"/>
    </xf>
    <xf numFmtId="0" fontId="26" fillId="7" borderId="1" xfId="0" applyFont="1" applyFill="1" applyBorder="1" applyAlignment="1">
      <alignment horizontal="left" vertical="top" wrapText="1"/>
    </xf>
    <xf numFmtId="16" fontId="26" fillId="7" borderId="1" xfId="0" applyNumberFormat="1" applyFont="1" applyFill="1" applyBorder="1" applyAlignment="1">
      <alignment horizontal="right" vertical="top"/>
    </xf>
    <xf numFmtId="0" fontId="29" fillId="0" borderId="63" xfId="2" applyFont="1" applyBorder="1" applyAlignment="1">
      <alignment horizontal="left" vertical="top" wrapText="1"/>
    </xf>
    <xf numFmtId="0" fontId="3" fillId="3" borderId="2" xfId="2" applyFont="1" applyFill="1" applyBorder="1" applyAlignment="1">
      <alignment horizontal="left" wrapText="1"/>
    </xf>
    <xf numFmtId="0" fontId="3" fillId="3" borderId="3" xfId="2" applyFont="1" applyFill="1" applyBorder="1" applyAlignment="1">
      <alignment horizontal="left" wrapText="1"/>
    </xf>
    <xf numFmtId="49" fontId="28" fillId="4" borderId="4" xfId="2" applyNumberFormat="1" applyFont="1" applyFill="1" applyBorder="1" applyAlignment="1">
      <alignment horizontal="left" wrapText="1"/>
    </xf>
    <xf numFmtId="0" fontId="5" fillId="4" borderId="3" xfId="2" applyFont="1" applyFill="1" applyBorder="1" applyAlignment="1">
      <alignment horizontal="left" wrapText="1"/>
    </xf>
    <xf numFmtId="0" fontId="5" fillId="4" borderId="5" xfId="2" applyFont="1" applyFill="1" applyBorder="1" applyAlignment="1">
      <alignment horizontal="left" wrapText="1"/>
    </xf>
    <xf numFmtId="0" fontId="3" fillId="3" borderId="6" xfId="2" applyFont="1" applyFill="1" applyBorder="1" applyAlignment="1">
      <alignment horizontal="left" wrapText="1"/>
    </xf>
    <xf numFmtId="0" fontId="3" fillId="3" borderId="7" xfId="2" applyFont="1" applyFill="1" applyBorder="1" applyAlignment="1">
      <alignment horizontal="left" wrapText="1"/>
    </xf>
    <xf numFmtId="49" fontId="26" fillId="4" borderId="4" xfId="2" applyNumberFormat="1" applyFont="1" applyFill="1" applyBorder="1" applyAlignment="1">
      <alignment horizontal="center" wrapText="1"/>
    </xf>
    <xf numFmtId="0" fontId="6" fillId="4" borderId="3" xfId="2" applyFont="1" applyFill="1" applyBorder="1" applyAlignment="1">
      <alignment horizontal="center" wrapText="1"/>
    </xf>
    <xf numFmtId="0" fontId="6" fillId="4" borderId="8" xfId="2" applyFont="1" applyFill="1" applyBorder="1" applyAlignment="1">
      <alignment horizontal="center" wrapText="1"/>
    </xf>
    <xf numFmtId="0" fontId="3" fillId="3" borderId="9" xfId="2" applyFont="1" applyFill="1" applyBorder="1" applyAlignment="1">
      <alignment horizontal="left" wrapText="1"/>
    </xf>
    <xf numFmtId="0" fontId="3" fillId="3" borderId="10" xfId="2" applyFont="1" applyFill="1" applyBorder="1" applyAlignment="1">
      <alignment horizontal="left" wrapText="1"/>
    </xf>
    <xf numFmtId="0" fontId="28" fillId="4" borderId="11" xfId="2" applyFont="1" applyFill="1" applyBorder="1" applyAlignment="1">
      <alignment horizontal="left" wrapText="1"/>
    </xf>
    <xf numFmtId="0" fontId="28" fillId="4" borderId="12" xfId="2" applyFont="1" applyFill="1" applyBorder="1" applyAlignment="1">
      <alignment horizontal="left" wrapText="1"/>
    </xf>
    <xf numFmtId="0" fontId="28" fillId="4" borderId="13" xfId="2" applyFont="1" applyFill="1" applyBorder="1" applyAlignment="1">
      <alignment horizontal="left" wrapText="1"/>
    </xf>
    <xf numFmtId="0" fontId="3" fillId="3" borderId="14" xfId="2" applyFont="1" applyFill="1" applyBorder="1" applyAlignment="1">
      <alignment horizontal="left" wrapText="1"/>
    </xf>
    <xf numFmtId="0" fontId="3" fillId="3" borderId="15" xfId="2" applyFont="1" applyFill="1" applyBorder="1" applyAlignment="1">
      <alignment horizontal="left" wrapText="1"/>
    </xf>
    <xf numFmtId="0" fontId="3" fillId="3" borderId="16" xfId="2" applyFont="1" applyFill="1" applyBorder="1" applyAlignment="1">
      <alignment horizontal="left" wrapText="1"/>
    </xf>
    <xf numFmtId="0" fontId="8" fillId="4" borderId="12" xfId="2" applyFont="1" applyFill="1" applyBorder="1" applyAlignment="1">
      <alignment horizontal="left" wrapText="1"/>
    </xf>
    <xf numFmtId="0" fontId="7" fillId="3" borderId="26" xfId="1" applyFont="1" applyFill="1" applyBorder="1" applyAlignment="1">
      <alignment horizontal="center" vertical="center"/>
    </xf>
    <xf numFmtId="0" fontId="7" fillId="3" borderId="27" xfId="1" applyFont="1" applyFill="1" applyBorder="1" applyAlignment="1">
      <alignment horizontal="center" vertical="center"/>
    </xf>
    <xf numFmtId="0" fontId="7" fillId="3" borderId="28" xfId="1" applyFont="1" applyFill="1" applyBorder="1" applyAlignment="1">
      <alignment horizontal="center" vertical="center"/>
    </xf>
    <xf numFmtId="0" fontId="7" fillId="3" borderId="29" xfId="1" applyFont="1" applyFill="1" applyBorder="1" applyAlignment="1">
      <alignment horizontal="center" vertical="center"/>
    </xf>
    <xf numFmtId="0" fontId="7" fillId="3" borderId="30" xfId="1" applyFont="1" applyFill="1" applyBorder="1" applyAlignment="1">
      <alignment horizontal="center" vertical="center"/>
    </xf>
    <xf numFmtId="0" fontId="7" fillId="3" borderId="31" xfId="1" applyFont="1" applyFill="1" applyBorder="1" applyAlignment="1">
      <alignment horizontal="center" vertical="center"/>
    </xf>
    <xf numFmtId="0" fontId="7" fillId="3" borderId="32" xfId="1" applyFont="1" applyFill="1" applyBorder="1" applyAlignment="1">
      <alignment horizontal="center" vertical="center"/>
    </xf>
    <xf numFmtId="0" fontId="28" fillId="4" borderId="18" xfId="2" applyFont="1" applyFill="1" applyBorder="1" applyAlignment="1">
      <alignment horizontal="center" wrapText="1"/>
    </xf>
    <xf numFmtId="0" fontId="28" fillId="4" borderId="19" xfId="2" applyFont="1" applyFill="1" applyBorder="1" applyAlignment="1">
      <alignment horizontal="center" wrapText="1"/>
    </xf>
    <xf numFmtId="0" fontId="7" fillId="3" borderId="20" xfId="2" applyFont="1" applyFill="1" applyBorder="1" applyAlignment="1">
      <alignment horizontal="center" wrapText="1"/>
    </xf>
    <xf numFmtId="0" fontId="7" fillId="3" borderId="19" xfId="2" applyFont="1" applyFill="1" applyBorder="1" applyAlignment="1">
      <alignment horizontal="center" wrapText="1"/>
    </xf>
    <xf numFmtId="0" fontId="7" fillId="3" borderId="21" xfId="2" applyFont="1" applyFill="1" applyBorder="1" applyAlignment="1">
      <alignment horizontal="center" wrapText="1"/>
    </xf>
    <xf numFmtId="0" fontId="28" fillId="4" borderId="22" xfId="2" applyFont="1" applyFill="1" applyBorder="1" applyAlignment="1">
      <alignment horizontal="left" wrapText="1"/>
    </xf>
    <xf numFmtId="0" fontId="28" fillId="4" borderId="23" xfId="2" applyFont="1" applyFill="1" applyBorder="1" applyAlignment="1">
      <alignment horizontal="left" wrapText="1"/>
    </xf>
    <xf numFmtId="0" fontId="3" fillId="3" borderId="9" xfId="1" applyFont="1" applyFill="1" applyBorder="1" applyAlignment="1">
      <alignment horizontal="center" vertical="center"/>
    </xf>
    <xf numFmtId="0" fontId="3" fillId="3" borderId="10" xfId="1" applyFont="1" applyFill="1" applyBorder="1" applyAlignment="1">
      <alignment horizontal="center" vertical="center"/>
    </xf>
    <xf numFmtId="0" fontId="3" fillId="3" borderId="18" xfId="1" applyFont="1" applyFill="1" applyBorder="1" applyAlignment="1">
      <alignment horizontal="center" vertical="center" wrapText="1"/>
    </xf>
    <xf numFmtId="0" fontId="3" fillId="3" borderId="19" xfId="1" applyFont="1" applyFill="1" applyBorder="1" applyAlignment="1">
      <alignment horizontal="center" vertical="center" wrapText="1"/>
    </xf>
    <xf numFmtId="0" fontId="3" fillId="3" borderId="10" xfId="1" applyFont="1" applyFill="1" applyBorder="1" applyAlignment="1">
      <alignment horizontal="center" vertical="center" wrapText="1"/>
    </xf>
    <xf numFmtId="0" fontId="3" fillId="3" borderId="24" xfId="1" applyFont="1" applyFill="1" applyBorder="1" applyAlignment="1">
      <alignment horizontal="center" vertical="center" wrapText="1"/>
    </xf>
    <xf numFmtId="0" fontId="3" fillId="3" borderId="20" xfId="1" applyFont="1" applyFill="1" applyBorder="1" applyAlignment="1">
      <alignment horizontal="center" vertical="center" wrapText="1"/>
    </xf>
    <xf numFmtId="0" fontId="3" fillId="3" borderId="25" xfId="1" applyFont="1" applyFill="1" applyBorder="1" applyAlignment="1">
      <alignment horizontal="center" vertical="center" wrapText="1"/>
    </xf>
    <xf numFmtId="0" fontId="7" fillId="0" borderId="46" xfId="1" applyFont="1" applyBorder="1" applyAlignment="1">
      <alignment horizontal="left"/>
    </xf>
    <xf numFmtId="0" fontId="7" fillId="0" borderId="41" xfId="1" applyFont="1" applyBorder="1" applyAlignment="1">
      <alignment horizontal="left"/>
    </xf>
    <xf numFmtId="0" fontId="7" fillId="0" borderId="16" xfId="1" applyFont="1" applyBorder="1" applyAlignment="1">
      <alignment horizontal="left"/>
    </xf>
    <xf numFmtId="0" fontId="7" fillId="0" borderId="1" xfId="1" applyFont="1" applyBorder="1" applyAlignment="1">
      <alignment horizontal="left"/>
    </xf>
    <xf numFmtId="0" fontId="7" fillId="0" borderId="16" xfId="1" applyFont="1" applyBorder="1" applyAlignment="1">
      <alignment horizontal="left" vertical="top"/>
    </xf>
    <xf numFmtId="0" fontId="7" fillId="0" borderId="1" xfId="1" applyFont="1" applyBorder="1" applyAlignment="1">
      <alignment horizontal="left" vertical="top"/>
    </xf>
    <xf numFmtId="0" fontId="7" fillId="0" borderId="59" xfId="1" applyFont="1" applyBorder="1" applyAlignment="1">
      <alignment horizontal="left" vertical="top"/>
    </xf>
    <xf numFmtId="0" fontId="7" fillId="0" borderId="60" xfId="1" applyFont="1" applyBorder="1" applyAlignment="1">
      <alignment horizontal="left" vertical="top"/>
    </xf>
    <xf numFmtId="164" fontId="9" fillId="5" borderId="34" xfId="1" applyNumberFormat="1" applyFont="1" applyFill="1" applyBorder="1" applyAlignment="1">
      <alignment horizontal="center" vertical="center"/>
    </xf>
    <xf numFmtId="164" fontId="9" fillId="5" borderId="35" xfId="1" applyNumberFormat="1" applyFont="1" applyFill="1" applyBorder="1" applyAlignment="1">
      <alignment horizontal="center" vertical="center"/>
    </xf>
    <xf numFmtId="0" fontId="26" fillId="0" borderId="39" xfId="1" applyFont="1" applyBorder="1" applyAlignment="1">
      <alignment horizontal="right"/>
    </xf>
    <xf numFmtId="0" fontId="26" fillId="0" borderId="46" xfId="1" applyFont="1" applyBorder="1" applyAlignment="1">
      <alignment horizontal="right"/>
    </xf>
    <xf numFmtId="0" fontId="26" fillId="0" borderId="15" xfId="1" applyFont="1" applyBorder="1" applyAlignment="1">
      <alignment horizontal="right"/>
    </xf>
    <xf numFmtId="0" fontId="26" fillId="0" borderId="16" xfId="1" applyFont="1" applyBorder="1" applyAlignment="1">
      <alignment horizontal="right"/>
    </xf>
    <xf numFmtId="0" fontId="19" fillId="0" borderId="0" xfId="2" applyFont="1" applyAlignment="1">
      <alignment horizontal="center" vertical="top" wrapText="1"/>
    </xf>
  </cellXfs>
  <cellStyles count="4">
    <cellStyle name="Hyperlink" xfId="3" builtinId="8"/>
    <cellStyle name="Normal" xfId="0" builtinId="0"/>
    <cellStyle name="Normal_Sheet1" xfId="2" xr:uid="{00000000-0005-0000-0000-000002000000}"/>
    <cellStyle name="Normal_Template_UnitTest Case_v0.9"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workbookViewId="0">
      <selection activeCell="D19" sqref="D19"/>
    </sheetView>
  </sheetViews>
  <sheetFormatPr defaultRowHeight="15"/>
  <cols>
    <col min="1" max="1" width="8" bestFit="1" customWidth="1"/>
    <col min="2" max="2" width="34.7109375" customWidth="1"/>
    <col min="3" max="3" width="4.28515625" bestFit="1" customWidth="1"/>
    <col min="4" max="4" width="36.28515625" customWidth="1"/>
  </cols>
  <sheetData>
    <row r="1" spans="1:4">
      <c r="A1" s="1" t="s">
        <v>0</v>
      </c>
      <c r="B1" s="1" t="s">
        <v>1</v>
      </c>
      <c r="C1" s="1" t="s">
        <v>2</v>
      </c>
      <c r="D1" s="1" t="s">
        <v>3</v>
      </c>
    </row>
    <row r="2" spans="1:4" ht="30">
      <c r="A2" s="80">
        <v>1</v>
      </c>
      <c r="B2" s="81" t="s">
        <v>50</v>
      </c>
      <c r="C2" s="82">
        <v>40</v>
      </c>
      <c r="D2" s="83" t="s">
        <v>49</v>
      </c>
    </row>
    <row r="3" spans="1:4">
      <c r="A3" s="80">
        <v>2</v>
      </c>
      <c r="B3" s="81" t="s">
        <v>51</v>
      </c>
      <c r="C3" s="82">
        <v>7</v>
      </c>
      <c r="D3" s="83" t="s">
        <v>52</v>
      </c>
    </row>
    <row r="4" spans="1:4" ht="30">
      <c r="A4" s="80">
        <v>3</v>
      </c>
      <c r="B4" s="81" t="s">
        <v>56</v>
      </c>
      <c r="C4" s="82">
        <v>12</v>
      </c>
      <c r="D4" s="83" t="s">
        <v>53</v>
      </c>
    </row>
    <row r="5" spans="1:4" ht="29.25" customHeight="1">
      <c r="A5" s="80">
        <v>4</v>
      </c>
      <c r="B5" s="83" t="s">
        <v>57</v>
      </c>
      <c r="C5" s="84">
        <v>21</v>
      </c>
      <c r="D5" s="83" t="s">
        <v>54</v>
      </c>
    </row>
    <row r="6" spans="1:4">
      <c r="A6" s="80">
        <v>5</v>
      </c>
      <c r="B6" s="83" t="s">
        <v>55</v>
      </c>
      <c r="C6" s="84">
        <v>42</v>
      </c>
      <c r="D6" s="81" t="s">
        <v>58</v>
      </c>
    </row>
    <row r="7" spans="1:4" ht="90">
      <c r="A7" s="80">
        <v>6</v>
      </c>
      <c r="B7" s="83" t="s">
        <v>59</v>
      </c>
      <c r="C7" s="84">
        <v>43</v>
      </c>
      <c r="D7" s="81" t="s">
        <v>60</v>
      </c>
    </row>
    <row r="9" spans="1:4">
      <c r="A9" s="2" t="s">
        <v>4</v>
      </c>
      <c r="B9" s="3" t="s">
        <v>5</v>
      </c>
      <c r="C9"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55"/>
  <sheetViews>
    <sheetView topLeftCell="A36" workbookViewId="0">
      <selection activeCell="W22" sqref="W22"/>
    </sheetView>
  </sheetViews>
  <sheetFormatPr defaultColWidth="9" defaultRowHeight="10.5"/>
  <cols>
    <col min="1" max="1" width="8.140625" style="4" customWidth="1"/>
    <col min="2" max="2" width="13.28515625" style="11" customWidth="1"/>
    <col min="3" max="3" width="10.7109375" style="4" customWidth="1"/>
    <col min="4" max="4" width="17.7109375" style="12" customWidth="1"/>
    <col min="5" max="5" width="3.28515625" style="4" hidden="1" customWidth="1"/>
    <col min="6" max="7" width="2.85546875" style="4" bestFit="1" customWidth="1"/>
    <col min="8" max="8" width="2.85546875" style="4" customWidth="1"/>
    <col min="9" max="10" width="2.85546875" style="4" bestFit="1" customWidth="1"/>
    <col min="11" max="19" width="2.85546875" style="4" customWidth="1"/>
    <col min="20" max="20" width="2.85546875" style="4" bestFit="1" customWidth="1"/>
    <col min="21" max="21" width="2.85546875" style="4" customWidth="1"/>
    <col min="22" max="22" width="9" style="5"/>
    <col min="23" max="23" width="24.28515625" style="4" bestFit="1" customWidth="1"/>
    <col min="24" max="24" width="9" style="4"/>
    <col min="25" max="25" width="15.140625" style="4" bestFit="1" customWidth="1"/>
    <col min="26" max="256" width="9" style="4"/>
    <col min="257" max="257" width="8.140625" style="4" customWidth="1"/>
    <col min="258" max="258" width="13.28515625" style="4" customWidth="1"/>
    <col min="259" max="259" width="10.7109375" style="4" customWidth="1"/>
    <col min="260" max="260" width="11.28515625" style="4" customWidth="1"/>
    <col min="261" max="261" width="0" style="4" hidden="1" customWidth="1"/>
    <col min="262" max="263" width="2.85546875" style="4" bestFit="1" customWidth="1"/>
    <col min="264" max="264" width="2.85546875" style="4" customWidth="1"/>
    <col min="265" max="266" width="2.85546875" style="4" bestFit="1" customWidth="1"/>
    <col min="267" max="275" width="2.85546875" style="4" customWidth="1"/>
    <col min="276" max="276" width="2.85546875" style="4" bestFit="1" customWidth="1"/>
    <col min="277" max="277" width="2.85546875" style="4" customWidth="1"/>
    <col min="278" max="512" width="9" style="4"/>
    <col min="513" max="513" width="8.140625" style="4" customWidth="1"/>
    <col min="514" max="514" width="13.28515625" style="4" customWidth="1"/>
    <col min="515" max="515" width="10.7109375" style="4" customWidth="1"/>
    <col min="516" max="516" width="11.28515625" style="4" customWidth="1"/>
    <col min="517" max="517" width="0" style="4" hidden="1" customWidth="1"/>
    <col min="518" max="519" width="2.85546875" style="4" bestFit="1" customWidth="1"/>
    <col min="520" max="520" width="2.85546875" style="4" customWidth="1"/>
    <col min="521" max="522" width="2.85546875" style="4" bestFit="1" customWidth="1"/>
    <col min="523" max="531" width="2.85546875" style="4" customWidth="1"/>
    <col min="532" max="532" width="2.85546875" style="4" bestFit="1" customWidth="1"/>
    <col min="533" max="533" width="2.85546875" style="4" customWidth="1"/>
    <col min="534" max="768" width="9" style="4"/>
    <col min="769" max="769" width="8.140625" style="4" customWidth="1"/>
    <col min="770" max="770" width="13.28515625" style="4" customWidth="1"/>
    <col min="771" max="771" width="10.7109375" style="4" customWidth="1"/>
    <col min="772" max="772" width="11.28515625" style="4" customWidth="1"/>
    <col min="773" max="773" width="0" style="4" hidden="1" customWidth="1"/>
    <col min="774" max="775" width="2.85546875" style="4" bestFit="1" customWidth="1"/>
    <col min="776" max="776" width="2.85546875" style="4" customWidth="1"/>
    <col min="777" max="778" width="2.85546875" style="4" bestFit="1" customWidth="1"/>
    <col min="779" max="787" width="2.85546875" style="4" customWidth="1"/>
    <col min="788" max="788" width="2.85546875" style="4" bestFit="1" customWidth="1"/>
    <col min="789" max="789" width="2.85546875" style="4" customWidth="1"/>
    <col min="790" max="1024" width="9" style="4"/>
    <col min="1025" max="1025" width="8.140625" style="4" customWidth="1"/>
    <col min="1026" max="1026" width="13.28515625" style="4" customWidth="1"/>
    <col min="1027" max="1027" width="10.7109375" style="4" customWidth="1"/>
    <col min="1028" max="1028" width="11.28515625" style="4" customWidth="1"/>
    <col min="1029" max="1029" width="0" style="4" hidden="1" customWidth="1"/>
    <col min="1030" max="1031" width="2.85546875" style="4" bestFit="1" customWidth="1"/>
    <col min="1032" max="1032" width="2.85546875" style="4" customWidth="1"/>
    <col min="1033" max="1034" width="2.85546875" style="4" bestFit="1" customWidth="1"/>
    <col min="1035" max="1043" width="2.85546875" style="4" customWidth="1"/>
    <col min="1044" max="1044" width="2.85546875" style="4" bestFit="1" customWidth="1"/>
    <col min="1045" max="1045" width="2.85546875" style="4" customWidth="1"/>
    <col min="1046" max="1280" width="9" style="4"/>
    <col min="1281" max="1281" width="8.140625" style="4" customWidth="1"/>
    <col min="1282" max="1282" width="13.28515625" style="4" customWidth="1"/>
    <col min="1283" max="1283" width="10.7109375" style="4" customWidth="1"/>
    <col min="1284" max="1284" width="11.28515625" style="4" customWidth="1"/>
    <col min="1285" max="1285" width="0" style="4" hidden="1" customWidth="1"/>
    <col min="1286" max="1287" width="2.85546875" style="4" bestFit="1" customWidth="1"/>
    <col min="1288" max="1288" width="2.85546875" style="4" customWidth="1"/>
    <col min="1289" max="1290" width="2.85546875" style="4" bestFit="1" customWidth="1"/>
    <col min="1291" max="1299" width="2.85546875" style="4" customWidth="1"/>
    <col min="1300" max="1300" width="2.85546875" style="4" bestFit="1" customWidth="1"/>
    <col min="1301" max="1301" width="2.85546875" style="4" customWidth="1"/>
    <col min="1302" max="1536" width="9" style="4"/>
    <col min="1537" max="1537" width="8.140625" style="4" customWidth="1"/>
    <col min="1538" max="1538" width="13.28515625" style="4" customWidth="1"/>
    <col min="1539" max="1539" width="10.7109375" style="4" customWidth="1"/>
    <col min="1540" max="1540" width="11.28515625" style="4" customWidth="1"/>
    <col min="1541" max="1541" width="0" style="4" hidden="1" customWidth="1"/>
    <col min="1542" max="1543" width="2.85546875" style="4" bestFit="1" customWidth="1"/>
    <col min="1544" max="1544" width="2.85546875" style="4" customWidth="1"/>
    <col min="1545" max="1546" width="2.85546875" style="4" bestFit="1" customWidth="1"/>
    <col min="1547" max="1555" width="2.85546875" style="4" customWidth="1"/>
    <col min="1556" max="1556" width="2.85546875" style="4" bestFit="1" customWidth="1"/>
    <col min="1557" max="1557" width="2.85546875" style="4" customWidth="1"/>
    <col min="1558" max="1792" width="9" style="4"/>
    <col min="1793" max="1793" width="8.140625" style="4" customWidth="1"/>
    <col min="1794" max="1794" width="13.28515625" style="4" customWidth="1"/>
    <col min="1795" max="1795" width="10.7109375" style="4" customWidth="1"/>
    <col min="1796" max="1796" width="11.28515625" style="4" customWidth="1"/>
    <col min="1797" max="1797" width="0" style="4" hidden="1" customWidth="1"/>
    <col min="1798" max="1799" width="2.85546875" style="4" bestFit="1" customWidth="1"/>
    <col min="1800" max="1800" width="2.85546875" style="4" customWidth="1"/>
    <col min="1801" max="1802" width="2.85546875" style="4" bestFit="1" customWidth="1"/>
    <col min="1803" max="1811" width="2.85546875" style="4" customWidth="1"/>
    <col min="1812" max="1812" width="2.85546875" style="4" bestFit="1" customWidth="1"/>
    <col min="1813" max="1813" width="2.85546875" style="4" customWidth="1"/>
    <col min="1814" max="2048" width="9" style="4"/>
    <col min="2049" max="2049" width="8.140625" style="4" customWidth="1"/>
    <col min="2050" max="2050" width="13.28515625" style="4" customWidth="1"/>
    <col min="2051" max="2051" width="10.7109375" style="4" customWidth="1"/>
    <col min="2052" max="2052" width="11.28515625" style="4" customWidth="1"/>
    <col min="2053" max="2053" width="0" style="4" hidden="1" customWidth="1"/>
    <col min="2054" max="2055" width="2.85546875" style="4" bestFit="1" customWidth="1"/>
    <col min="2056" max="2056" width="2.85546875" style="4" customWidth="1"/>
    <col min="2057" max="2058" width="2.85546875" style="4" bestFit="1" customWidth="1"/>
    <col min="2059" max="2067" width="2.85546875" style="4" customWidth="1"/>
    <col min="2068" max="2068" width="2.85546875" style="4" bestFit="1" customWidth="1"/>
    <col min="2069" max="2069" width="2.85546875" style="4" customWidth="1"/>
    <col min="2070" max="2304" width="9" style="4"/>
    <col min="2305" max="2305" width="8.140625" style="4" customWidth="1"/>
    <col min="2306" max="2306" width="13.28515625" style="4" customWidth="1"/>
    <col min="2307" max="2307" width="10.7109375" style="4" customWidth="1"/>
    <col min="2308" max="2308" width="11.28515625" style="4" customWidth="1"/>
    <col min="2309" max="2309" width="0" style="4" hidden="1" customWidth="1"/>
    <col min="2310" max="2311" width="2.85546875" style="4" bestFit="1" customWidth="1"/>
    <col min="2312" max="2312" width="2.85546875" style="4" customWidth="1"/>
    <col min="2313" max="2314" width="2.85546875" style="4" bestFit="1" customWidth="1"/>
    <col min="2315" max="2323" width="2.85546875" style="4" customWidth="1"/>
    <col min="2324" max="2324" width="2.85546875" style="4" bestFit="1" customWidth="1"/>
    <col min="2325" max="2325" width="2.85546875" style="4" customWidth="1"/>
    <col min="2326" max="2560" width="9" style="4"/>
    <col min="2561" max="2561" width="8.140625" style="4" customWidth="1"/>
    <col min="2562" max="2562" width="13.28515625" style="4" customWidth="1"/>
    <col min="2563" max="2563" width="10.7109375" style="4" customWidth="1"/>
    <col min="2564" max="2564" width="11.28515625" style="4" customWidth="1"/>
    <col min="2565" max="2565" width="0" style="4" hidden="1" customWidth="1"/>
    <col min="2566" max="2567" width="2.85546875" style="4" bestFit="1" customWidth="1"/>
    <col min="2568" max="2568" width="2.85546875" style="4" customWidth="1"/>
    <col min="2569" max="2570" width="2.85546875" style="4" bestFit="1" customWidth="1"/>
    <col min="2571" max="2579" width="2.85546875" style="4" customWidth="1"/>
    <col min="2580" max="2580" width="2.85546875" style="4" bestFit="1" customWidth="1"/>
    <col min="2581" max="2581" width="2.85546875" style="4" customWidth="1"/>
    <col min="2582" max="2816" width="9" style="4"/>
    <col min="2817" max="2817" width="8.140625" style="4" customWidth="1"/>
    <col min="2818" max="2818" width="13.28515625" style="4" customWidth="1"/>
    <col min="2819" max="2819" width="10.7109375" style="4" customWidth="1"/>
    <col min="2820" max="2820" width="11.28515625" style="4" customWidth="1"/>
    <col min="2821" max="2821" width="0" style="4" hidden="1" customWidth="1"/>
    <col min="2822" max="2823" width="2.85546875" style="4" bestFit="1" customWidth="1"/>
    <col min="2824" max="2824" width="2.85546875" style="4" customWidth="1"/>
    <col min="2825" max="2826" width="2.85546875" style="4" bestFit="1" customWidth="1"/>
    <col min="2827" max="2835" width="2.85546875" style="4" customWidth="1"/>
    <col min="2836" max="2836" width="2.85546875" style="4" bestFit="1" customWidth="1"/>
    <col min="2837" max="2837" width="2.85546875" style="4" customWidth="1"/>
    <col min="2838" max="3072" width="9" style="4"/>
    <col min="3073" max="3073" width="8.140625" style="4" customWidth="1"/>
    <col min="3074" max="3074" width="13.28515625" style="4" customWidth="1"/>
    <col min="3075" max="3075" width="10.7109375" style="4" customWidth="1"/>
    <col min="3076" max="3076" width="11.28515625" style="4" customWidth="1"/>
    <col min="3077" max="3077" width="0" style="4" hidden="1" customWidth="1"/>
    <col min="3078" max="3079" width="2.85546875" style="4" bestFit="1" customWidth="1"/>
    <col min="3080" max="3080" width="2.85546875" style="4" customWidth="1"/>
    <col min="3081" max="3082" width="2.85546875" style="4" bestFit="1" customWidth="1"/>
    <col min="3083" max="3091" width="2.85546875" style="4" customWidth="1"/>
    <col min="3092" max="3092" width="2.85546875" style="4" bestFit="1" customWidth="1"/>
    <col min="3093" max="3093" width="2.85546875" style="4" customWidth="1"/>
    <col min="3094" max="3328" width="9" style="4"/>
    <col min="3329" max="3329" width="8.140625" style="4" customWidth="1"/>
    <col min="3330" max="3330" width="13.28515625" style="4" customWidth="1"/>
    <col min="3331" max="3331" width="10.7109375" style="4" customWidth="1"/>
    <col min="3332" max="3332" width="11.28515625" style="4" customWidth="1"/>
    <col min="3333" max="3333" width="0" style="4" hidden="1" customWidth="1"/>
    <col min="3334" max="3335" width="2.85546875" style="4" bestFit="1" customWidth="1"/>
    <col min="3336" max="3336" width="2.85546875" style="4" customWidth="1"/>
    <col min="3337" max="3338" width="2.85546875" style="4" bestFit="1" customWidth="1"/>
    <col min="3339" max="3347" width="2.85546875" style="4" customWidth="1"/>
    <col min="3348" max="3348" width="2.85546875" style="4" bestFit="1" customWidth="1"/>
    <col min="3349" max="3349" width="2.85546875" style="4" customWidth="1"/>
    <col min="3350" max="3584" width="9" style="4"/>
    <col min="3585" max="3585" width="8.140625" style="4" customWidth="1"/>
    <col min="3586" max="3586" width="13.28515625" style="4" customWidth="1"/>
    <col min="3587" max="3587" width="10.7109375" style="4" customWidth="1"/>
    <col min="3588" max="3588" width="11.28515625" style="4" customWidth="1"/>
    <col min="3589" max="3589" width="0" style="4" hidden="1" customWidth="1"/>
    <col min="3590" max="3591" width="2.85546875" style="4" bestFit="1" customWidth="1"/>
    <col min="3592" max="3592" width="2.85546875" style="4" customWidth="1"/>
    <col min="3593" max="3594" width="2.85546875" style="4" bestFit="1" customWidth="1"/>
    <col min="3595" max="3603" width="2.85546875" style="4" customWidth="1"/>
    <col min="3604" max="3604" width="2.85546875" style="4" bestFit="1" customWidth="1"/>
    <col min="3605" max="3605" width="2.85546875" style="4" customWidth="1"/>
    <col min="3606" max="3840" width="9" style="4"/>
    <col min="3841" max="3841" width="8.140625" style="4" customWidth="1"/>
    <col min="3842" max="3842" width="13.28515625" style="4" customWidth="1"/>
    <col min="3843" max="3843" width="10.7109375" style="4" customWidth="1"/>
    <col min="3844" max="3844" width="11.28515625" style="4" customWidth="1"/>
    <col min="3845" max="3845" width="0" style="4" hidden="1" customWidth="1"/>
    <col min="3846" max="3847" width="2.85546875" style="4" bestFit="1" customWidth="1"/>
    <col min="3848" max="3848" width="2.85546875" style="4" customWidth="1"/>
    <col min="3849" max="3850" width="2.85546875" style="4" bestFit="1" customWidth="1"/>
    <col min="3851" max="3859" width="2.85546875" style="4" customWidth="1"/>
    <col min="3860" max="3860" width="2.85546875" style="4" bestFit="1" customWidth="1"/>
    <col min="3861" max="3861" width="2.85546875" style="4" customWidth="1"/>
    <col min="3862" max="4096" width="9" style="4"/>
    <col min="4097" max="4097" width="8.140625" style="4" customWidth="1"/>
    <col min="4098" max="4098" width="13.28515625" style="4" customWidth="1"/>
    <col min="4099" max="4099" width="10.7109375" style="4" customWidth="1"/>
    <col min="4100" max="4100" width="11.28515625" style="4" customWidth="1"/>
    <col min="4101" max="4101" width="0" style="4" hidden="1" customWidth="1"/>
    <col min="4102" max="4103" width="2.85546875" style="4" bestFit="1" customWidth="1"/>
    <col min="4104" max="4104" width="2.85546875" style="4" customWidth="1"/>
    <col min="4105" max="4106" width="2.85546875" style="4" bestFit="1" customWidth="1"/>
    <col min="4107" max="4115" width="2.85546875" style="4" customWidth="1"/>
    <col min="4116" max="4116" width="2.85546875" style="4" bestFit="1" customWidth="1"/>
    <col min="4117" max="4117" width="2.85546875" style="4" customWidth="1"/>
    <col min="4118" max="4352" width="9" style="4"/>
    <col min="4353" max="4353" width="8.140625" style="4" customWidth="1"/>
    <col min="4354" max="4354" width="13.28515625" style="4" customWidth="1"/>
    <col min="4355" max="4355" width="10.7109375" style="4" customWidth="1"/>
    <col min="4356" max="4356" width="11.28515625" style="4" customWidth="1"/>
    <col min="4357" max="4357" width="0" style="4" hidden="1" customWidth="1"/>
    <col min="4358" max="4359" width="2.85546875" style="4" bestFit="1" customWidth="1"/>
    <col min="4360" max="4360" width="2.85546875" style="4" customWidth="1"/>
    <col min="4361" max="4362" width="2.85546875" style="4" bestFit="1" customWidth="1"/>
    <col min="4363" max="4371" width="2.85546875" style="4" customWidth="1"/>
    <col min="4372" max="4372" width="2.85546875" style="4" bestFit="1" customWidth="1"/>
    <col min="4373" max="4373" width="2.85546875" style="4" customWidth="1"/>
    <col min="4374" max="4608" width="9" style="4"/>
    <col min="4609" max="4609" width="8.140625" style="4" customWidth="1"/>
    <col min="4610" max="4610" width="13.28515625" style="4" customWidth="1"/>
    <col min="4611" max="4611" width="10.7109375" style="4" customWidth="1"/>
    <col min="4612" max="4612" width="11.28515625" style="4" customWidth="1"/>
    <col min="4613" max="4613" width="0" style="4" hidden="1" customWidth="1"/>
    <col min="4614" max="4615" width="2.85546875" style="4" bestFit="1" customWidth="1"/>
    <col min="4616" max="4616" width="2.85546875" style="4" customWidth="1"/>
    <col min="4617" max="4618" width="2.85546875" style="4" bestFit="1" customWidth="1"/>
    <col min="4619" max="4627" width="2.85546875" style="4" customWidth="1"/>
    <col min="4628" max="4628" width="2.85546875" style="4" bestFit="1" customWidth="1"/>
    <col min="4629" max="4629" width="2.85546875" style="4" customWidth="1"/>
    <col min="4630" max="4864" width="9" style="4"/>
    <col min="4865" max="4865" width="8.140625" style="4" customWidth="1"/>
    <col min="4866" max="4866" width="13.28515625" style="4" customWidth="1"/>
    <col min="4867" max="4867" width="10.7109375" style="4" customWidth="1"/>
    <col min="4868" max="4868" width="11.28515625" style="4" customWidth="1"/>
    <col min="4869" max="4869" width="0" style="4" hidden="1" customWidth="1"/>
    <col min="4870" max="4871" width="2.85546875" style="4" bestFit="1" customWidth="1"/>
    <col min="4872" max="4872" width="2.85546875" style="4" customWidth="1"/>
    <col min="4873" max="4874" width="2.85546875" style="4" bestFit="1" customWidth="1"/>
    <col min="4875" max="4883" width="2.85546875" style="4" customWidth="1"/>
    <col min="4884" max="4884" width="2.85546875" style="4" bestFit="1" customWidth="1"/>
    <col min="4885" max="4885" width="2.85546875" style="4" customWidth="1"/>
    <col min="4886" max="5120" width="9" style="4"/>
    <col min="5121" max="5121" width="8.140625" style="4" customWidth="1"/>
    <col min="5122" max="5122" width="13.28515625" style="4" customWidth="1"/>
    <col min="5123" max="5123" width="10.7109375" style="4" customWidth="1"/>
    <col min="5124" max="5124" width="11.28515625" style="4" customWidth="1"/>
    <col min="5125" max="5125" width="0" style="4" hidden="1" customWidth="1"/>
    <col min="5126" max="5127" width="2.85546875" style="4" bestFit="1" customWidth="1"/>
    <col min="5128" max="5128" width="2.85546875" style="4" customWidth="1"/>
    <col min="5129" max="5130" width="2.85546875" style="4" bestFit="1" customWidth="1"/>
    <col min="5131" max="5139" width="2.85546875" style="4" customWidth="1"/>
    <col min="5140" max="5140" width="2.85546875" style="4" bestFit="1" customWidth="1"/>
    <col min="5141" max="5141" width="2.85546875" style="4" customWidth="1"/>
    <col min="5142" max="5376" width="9" style="4"/>
    <col min="5377" max="5377" width="8.140625" style="4" customWidth="1"/>
    <col min="5378" max="5378" width="13.28515625" style="4" customWidth="1"/>
    <col min="5379" max="5379" width="10.7109375" style="4" customWidth="1"/>
    <col min="5380" max="5380" width="11.28515625" style="4" customWidth="1"/>
    <col min="5381" max="5381" width="0" style="4" hidden="1" customWidth="1"/>
    <col min="5382" max="5383" width="2.85546875" style="4" bestFit="1" customWidth="1"/>
    <col min="5384" max="5384" width="2.85546875" style="4" customWidth="1"/>
    <col min="5385" max="5386" width="2.85546875" style="4" bestFit="1" customWidth="1"/>
    <col min="5387" max="5395" width="2.85546875" style="4" customWidth="1"/>
    <col min="5396" max="5396" width="2.85546875" style="4" bestFit="1" customWidth="1"/>
    <col min="5397" max="5397" width="2.85546875" style="4" customWidth="1"/>
    <col min="5398" max="5632" width="9" style="4"/>
    <col min="5633" max="5633" width="8.140625" style="4" customWidth="1"/>
    <col min="5634" max="5634" width="13.28515625" style="4" customWidth="1"/>
    <col min="5635" max="5635" width="10.7109375" style="4" customWidth="1"/>
    <col min="5636" max="5636" width="11.28515625" style="4" customWidth="1"/>
    <col min="5637" max="5637" width="0" style="4" hidden="1" customWidth="1"/>
    <col min="5638" max="5639" width="2.85546875" style="4" bestFit="1" customWidth="1"/>
    <col min="5640" max="5640" width="2.85546875" style="4" customWidth="1"/>
    <col min="5641" max="5642" width="2.85546875" style="4" bestFit="1" customWidth="1"/>
    <col min="5643" max="5651" width="2.85546875" style="4" customWidth="1"/>
    <col min="5652" max="5652" width="2.85546875" style="4" bestFit="1" customWidth="1"/>
    <col min="5653" max="5653" width="2.85546875" style="4" customWidth="1"/>
    <col min="5654" max="5888" width="9" style="4"/>
    <col min="5889" max="5889" width="8.140625" style="4" customWidth="1"/>
    <col min="5890" max="5890" width="13.28515625" style="4" customWidth="1"/>
    <col min="5891" max="5891" width="10.7109375" style="4" customWidth="1"/>
    <col min="5892" max="5892" width="11.28515625" style="4" customWidth="1"/>
    <col min="5893" max="5893" width="0" style="4" hidden="1" customWidth="1"/>
    <col min="5894" max="5895" width="2.85546875" style="4" bestFit="1" customWidth="1"/>
    <col min="5896" max="5896" width="2.85546875" style="4" customWidth="1"/>
    <col min="5897" max="5898" width="2.85546875" style="4" bestFit="1" customWidth="1"/>
    <col min="5899" max="5907" width="2.85546875" style="4" customWidth="1"/>
    <col min="5908" max="5908" width="2.85546875" style="4" bestFit="1" customWidth="1"/>
    <col min="5909" max="5909" width="2.85546875" style="4" customWidth="1"/>
    <col min="5910" max="6144" width="9" style="4"/>
    <col min="6145" max="6145" width="8.140625" style="4" customWidth="1"/>
    <col min="6146" max="6146" width="13.28515625" style="4" customWidth="1"/>
    <col min="6147" max="6147" width="10.7109375" style="4" customWidth="1"/>
    <col min="6148" max="6148" width="11.28515625" style="4" customWidth="1"/>
    <col min="6149" max="6149" width="0" style="4" hidden="1" customWidth="1"/>
    <col min="6150" max="6151" width="2.85546875" style="4" bestFit="1" customWidth="1"/>
    <col min="6152" max="6152" width="2.85546875" style="4" customWidth="1"/>
    <col min="6153" max="6154" width="2.85546875" style="4" bestFit="1" customWidth="1"/>
    <col min="6155" max="6163" width="2.85546875" style="4" customWidth="1"/>
    <col min="6164" max="6164" width="2.85546875" style="4" bestFit="1" customWidth="1"/>
    <col min="6165" max="6165" width="2.85546875" style="4" customWidth="1"/>
    <col min="6166" max="6400" width="9" style="4"/>
    <col min="6401" max="6401" width="8.140625" style="4" customWidth="1"/>
    <col min="6402" max="6402" width="13.28515625" style="4" customWidth="1"/>
    <col min="6403" max="6403" width="10.7109375" style="4" customWidth="1"/>
    <col min="6404" max="6404" width="11.28515625" style="4" customWidth="1"/>
    <col min="6405" max="6405" width="0" style="4" hidden="1" customWidth="1"/>
    <col min="6406" max="6407" width="2.85546875" style="4" bestFit="1" customWidth="1"/>
    <col min="6408" max="6408" width="2.85546875" style="4" customWidth="1"/>
    <col min="6409" max="6410" width="2.85546875" style="4" bestFit="1" customWidth="1"/>
    <col min="6411" max="6419" width="2.85546875" style="4" customWidth="1"/>
    <col min="6420" max="6420" width="2.85546875" style="4" bestFit="1" customWidth="1"/>
    <col min="6421" max="6421" width="2.85546875" style="4" customWidth="1"/>
    <col min="6422" max="6656" width="9" style="4"/>
    <col min="6657" max="6657" width="8.140625" style="4" customWidth="1"/>
    <col min="6658" max="6658" width="13.28515625" style="4" customWidth="1"/>
    <col min="6659" max="6659" width="10.7109375" style="4" customWidth="1"/>
    <col min="6660" max="6660" width="11.28515625" style="4" customWidth="1"/>
    <col min="6661" max="6661" width="0" style="4" hidden="1" customWidth="1"/>
    <col min="6662" max="6663" width="2.85546875" style="4" bestFit="1" customWidth="1"/>
    <col min="6664" max="6664" width="2.85546875" style="4" customWidth="1"/>
    <col min="6665" max="6666" width="2.85546875" style="4" bestFit="1" customWidth="1"/>
    <col min="6667" max="6675" width="2.85546875" style="4" customWidth="1"/>
    <col min="6676" max="6676" width="2.85546875" style="4" bestFit="1" customWidth="1"/>
    <col min="6677" max="6677" width="2.85546875" style="4" customWidth="1"/>
    <col min="6678" max="6912" width="9" style="4"/>
    <col min="6913" max="6913" width="8.140625" style="4" customWidth="1"/>
    <col min="6914" max="6914" width="13.28515625" style="4" customWidth="1"/>
    <col min="6915" max="6915" width="10.7109375" style="4" customWidth="1"/>
    <col min="6916" max="6916" width="11.28515625" style="4" customWidth="1"/>
    <col min="6917" max="6917" width="0" style="4" hidden="1" customWidth="1"/>
    <col min="6918" max="6919" width="2.85546875" style="4" bestFit="1" customWidth="1"/>
    <col min="6920" max="6920" width="2.85546875" style="4" customWidth="1"/>
    <col min="6921" max="6922" width="2.85546875" style="4" bestFit="1" customWidth="1"/>
    <col min="6923" max="6931" width="2.85546875" style="4" customWidth="1"/>
    <col min="6932" max="6932" width="2.85546875" style="4" bestFit="1" customWidth="1"/>
    <col min="6933" max="6933" width="2.85546875" style="4" customWidth="1"/>
    <col min="6934" max="7168" width="9" style="4"/>
    <col min="7169" max="7169" width="8.140625" style="4" customWidth="1"/>
    <col min="7170" max="7170" width="13.28515625" style="4" customWidth="1"/>
    <col min="7171" max="7171" width="10.7109375" style="4" customWidth="1"/>
    <col min="7172" max="7172" width="11.28515625" style="4" customWidth="1"/>
    <col min="7173" max="7173" width="0" style="4" hidden="1" customWidth="1"/>
    <col min="7174" max="7175" width="2.85546875" style="4" bestFit="1" customWidth="1"/>
    <col min="7176" max="7176" width="2.85546875" style="4" customWidth="1"/>
    <col min="7177" max="7178" width="2.85546875" style="4" bestFit="1" customWidth="1"/>
    <col min="7179" max="7187" width="2.85546875" style="4" customWidth="1"/>
    <col min="7188" max="7188" width="2.85546875" style="4" bestFit="1" customWidth="1"/>
    <col min="7189" max="7189" width="2.85546875" style="4" customWidth="1"/>
    <col min="7190" max="7424" width="9" style="4"/>
    <col min="7425" max="7425" width="8.140625" style="4" customWidth="1"/>
    <col min="7426" max="7426" width="13.28515625" style="4" customWidth="1"/>
    <col min="7427" max="7427" width="10.7109375" style="4" customWidth="1"/>
    <col min="7428" max="7428" width="11.28515625" style="4" customWidth="1"/>
    <col min="7429" max="7429" width="0" style="4" hidden="1" customWidth="1"/>
    <col min="7430" max="7431" width="2.85546875" style="4" bestFit="1" customWidth="1"/>
    <col min="7432" max="7432" width="2.85546875" style="4" customWidth="1"/>
    <col min="7433" max="7434" width="2.85546875" style="4" bestFit="1" customWidth="1"/>
    <col min="7435" max="7443" width="2.85546875" style="4" customWidth="1"/>
    <col min="7444" max="7444" width="2.85546875" style="4" bestFit="1" customWidth="1"/>
    <col min="7445" max="7445" width="2.85546875" style="4" customWidth="1"/>
    <col min="7446" max="7680" width="9" style="4"/>
    <col min="7681" max="7681" width="8.140625" style="4" customWidth="1"/>
    <col min="7682" max="7682" width="13.28515625" style="4" customWidth="1"/>
    <col min="7683" max="7683" width="10.7109375" style="4" customWidth="1"/>
    <col min="7684" max="7684" width="11.28515625" style="4" customWidth="1"/>
    <col min="7685" max="7685" width="0" style="4" hidden="1" customWidth="1"/>
    <col min="7686" max="7687" width="2.85546875" style="4" bestFit="1" customWidth="1"/>
    <col min="7688" max="7688" width="2.85546875" style="4" customWidth="1"/>
    <col min="7689" max="7690" width="2.85546875" style="4" bestFit="1" customWidth="1"/>
    <col min="7691" max="7699" width="2.85546875" style="4" customWidth="1"/>
    <col min="7700" max="7700" width="2.85546875" style="4" bestFit="1" customWidth="1"/>
    <col min="7701" max="7701" width="2.85546875" style="4" customWidth="1"/>
    <col min="7702" max="7936" width="9" style="4"/>
    <col min="7937" max="7937" width="8.140625" style="4" customWidth="1"/>
    <col min="7938" max="7938" width="13.28515625" style="4" customWidth="1"/>
    <col min="7939" max="7939" width="10.7109375" style="4" customWidth="1"/>
    <col min="7940" max="7940" width="11.28515625" style="4" customWidth="1"/>
    <col min="7941" max="7941" width="0" style="4" hidden="1" customWidth="1"/>
    <col min="7942" max="7943" width="2.85546875" style="4" bestFit="1" customWidth="1"/>
    <col min="7944" max="7944" width="2.85546875" style="4" customWidth="1"/>
    <col min="7945" max="7946" width="2.85546875" style="4" bestFit="1" customWidth="1"/>
    <col min="7947" max="7955" width="2.85546875" style="4" customWidth="1"/>
    <col min="7956" max="7956" width="2.85546875" style="4" bestFit="1" customWidth="1"/>
    <col min="7957" max="7957" width="2.85546875" style="4" customWidth="1"/>
    <col min="7958" max="8192" width="9" style="4"/>
    <col min="8193" max="8193" width="8.140625" style="4" customWidth="1"/>
    <col min="8194" max="8194" width="13.28515625" style="4" customWidth="1"/>
    <col min="8195" max="8195" width="10.7109375" style="4" customWidth="1"/>
    <col min="8196" max="8196" width="11.28515625" style="4" customWidth="1"/>
    <col min="8197" max="8197" width="0" style="4" hidden="1" customWidth="1"/>
    <col min="8198" max="8199" width="2.85546875" style="4" bestFit="1" customWidth="1"/>
    <col min="8200" max="8200" width="2.85546875" style="4" customWidth="1"/>
    <col min="8201" max="8202" width="2.85546875" style="4" bestFit="1" customWidth="1"/>
    <col min="8203" max="8211" width="2.85546875" style="4" customWidth="1"/>
    <col min="8212" max="8212" width="2.85546875" style="4" bestFit="1" customWidth="1"/>
    <col min="8213" max="8213" width="2.85546875" style="4" customWidth="1"/>
    <col min="8214" max="8448" width="9" style="4"/>
    <col min="8449" max="8449" width="8.140625" style="4" customWidth="1"/>
    <col min="8450" max="8450" width="13.28515625" style="4" customWidth="1"/>
    <col min="8451" max="8451" width="10.7109375" style="4" customWidth="1"/>
    <col min="8452" max="8452" width="11.28515625" style="4" customWidth="1"/>
    <col min="8453" max="8453" width="0" style="4" hidden="1" customWidth="1"/>
    <col min="8454" max="8455" width="2.85546875" style="4" bestFit="1" customWidth="1"/>
    <col min="8456" max="8456" width="2.85546875" style="4" customWidth="1"/>
    <col min="8457" max="8458" width="2.85546875" style="4" bestFit="1" customWidth="1"/>
    <col min="8459" max="8467" width="2.85546875" style="4" customWidth="1"/>
    <col min="8468" max="8468" width="2.85546875" style="4" bestFit="1" customWidth="1"/>
    <col min="8469" max="8469" width="2.85546875" style="4" customWidth="1"/>
    <col min="8470" max="8704" width="9" style="4"/>
    <col min="8705" max="8705" width="8.140625" style="4" customWidth="1"/>
    <col min="8706" max="8706" width="13.28515625" style="4" customWidth="1"/>
    <col min="8707" max="8707" width="10.7109375" style="4" customWidth="1"/>
    <col min="8708" max="8708" width="11.28515625" style="4" customWidth="1"/>
    <col min="8709" max="8709" width="0" style="4" hidden="1" customWidth="1"/>
    <col min="8710" max="8711" width="2.85546875" style="4" bestFit="1" customWidth="1"/>
    <col min="8712" max="8712" width="2.85546875" style="4" customWidth="1"/>
    <col min="8713" max="8714" width="2.85546875" style="4" bestFit="1" customWidth="1"/>
    <col min="8715" max="8723" width="2.85546875" style="4" customWidth="1"/>
    <col min="8724" max="8724" width="2.85546875" style="4" bestFit="1" customWidth="1"/>
    <col min="8725" max="8725" width="2.85546875" style="4" customWidth="1"/>
    <col min="8726" max="8960" width="9" style="4"/>
    <col min="8961" max="8961" width="8.140625" style="4" customWidth="1"/>
    <col min="8962" max="8962" width="13.28515625" style="4" customWidth="1"/>
    <col min="8963" max="8963" width="10.7109375" style="4" customWidth="1"/>
    <col min="8964" max="8964" width="11.28515625" style="4" customWidth="1"/>
    <col min="8965" max="8965" width="0" style="4" hidden="1" customWidth="1"/>
    <col min="8966" max="8967" width="2.85546875" style="4" bestFit="1" customWidth="1"/>
    <col min="8968" max="8968" width="2.85546875" style="4" customWidth="1"/>
    <col min="8969" max="8970" width="2.85546875" style="4" bestFit="1" customWidth="1"/>
    <col min="8971" max="8979" width="2.85546875" style="4" customWidth="1"/>
    <col min="8980" max="8980" width="2.85546875" style="4" bestFit="1" customWidth="1"/>
    <col min="8981" max="8981" width="2.85546875" style="4" customWidth="1"/>
    <col min="8982" max="9216" width="9" style="4"/>
    <col min="9217" max="9217" width="8.140625" style="4" customWidth="1"/>
    <col min="9218" max="9218" width="13.28515625" style="4" customWidth="1"/>
    <col min="9219" max="9219" width="10.7109375" style="4" customWidth="1"/>
    <col min="9220" max="9220" width="11.28515625" style="4" customWidth="1"/>
    <col min="9221" max="9221" width="0" style="4" hidden="1" customWidth="1"/>
    <col min="9222" max="9223" width="2.85546875" style="4" bestFit="1" customWidth="1"/>
    <col min="9224" max="9224" width="2.85546875" style="4" customWidth="1"/>
    <col min="9225" max="9226" width="2.85546875" style="4" bestFit="1" customWidth="1"/>
    <col min="9227" max="9235" width="2.85546875" style="4" customWidth="1"/>
    <col min="9236" max="9236" width="2.85546875" style="4" bestFit="1" customWidth="1"/>
    <col min="9237" max="9237" width="2.85546875" style="4" customWidth="1"/>
    <col min="9238" max="9472" width="9" style="4"/>
    <col min="9473" max="9473" width="8.140625" style="4" customWidth="1"/>
    <col min="9474" max="9474" width="13.28515625" style="4" customWidth="1"/>
    <col min="9475" max="9475" width="10.7109375" style="4" customWidth="1"/>
    <col min="9476" max="9476" width="11.28515625" style="4" customWidth="1"/>
    <col min="9477" max="9477" width="0" style="4" hidden="1" customWidth="1"/>
    <col min="9478" max="9479" width="2.85546875" style="4" bestFit="1" customWidth="1"/>
    <col min="9480" max="9480" width="2.85546875" style="4" customWidth="1"/>
    <col min="9481" max="9482" width="2.85546875" style="4" bestFit="1" customWidth="1"/>
    <col min="9483" max="9491" width="2.85546875" style="4" customWidth="1"/>
    <col min="9492" max="9492" width="2.85546875" style="4" bestFit="1" customWidth="1"/>
    <col min="9493" max="9493" width="2.85546875" style="4" customWidth="1"/>
    <col min="9494" max="9728" width="9" style="4"/>
    <col min="9729" max="9729" width="8.140625" style="4" customWidth="1"/>
    <col min="9730" max="9730" width="13.28515625" style="4" customWidth="1"/>
    <col min="9731" max="9731" width="10.7109375" style="4" customWidth="1"/>
    <col min="9732" max="9732" width="11.28515625" style="4" customWidth="1"/>
    <col min="9733" max="9733" width="0" style="4" hidden="1" customWidth="1"/>
    <col min="9734" max="9735" width="2.85546875" style="4" bestFit="1" customWidth="1"/>
    <col min="9736" max="9736" width="2.85546875" style="4" customWidth="1"/>
    <col min="9737" max="9738" width="2.85546875" style="4" bestFit="1" customWidth="1"/>
    <col min="9739" max="9747" width="2.85546875" style="4" customWidth="1"/>
    <col min="9748" max="9748" width="2.85546875" style="4" bestFit="1" customWidth="1"/>
    <col min="9749" max="9749" width="2.85546875" style="4" customWidth="1"/>
    <col min="9750" max="9984" width="9" style="4"/>
    <col min="9985" max="9985" width="8.140625" style="4" customWidth="1"/>
    <col min="9986" max="9986" width="13.28515625" style="4" customWidth="1"/>
    <col min="9987" max="9987" width="10.7109375" style="4" customWidth="1"/>
    <col min="9988" max="9988" width="11.28515625" style="4" customWidth="1"/>
    <col min="9989" max="9989" width="0" style="4" hidden="1" customWidth="1"/>
    <col min="9990" max="9991" width="2.85546875" style="4" bestFit="1" customWidth="1"/>
    <col min="9992" max="9992" width="2.85546875" style="4" customWidth="1"/>
    <col min="9993" max="9994" width="2.85546875" style="4" bestFit="1" customWidth="1"/>
    <col min="9995" max="10003" width="2.85546875" style="4" customWidth="1"/>
    <col min="10004" max="10004" width="2.85546875" style="4" bestFit="1" customWidth="1"/>
    <col min="10005" max="10005" width="2.85546875" style="4" customWidth="1"/>
    <col min="10006" max="10240" width="9" style="4"/>
    <col min="10241" max="10241" width="8.140625" style="4" customWidth="1"/>
    <col min="10242" max="10242" width="13.28515625" style="4" customWidth="1"/>
    <col min="10243" max="10243" width="10.7109375" style="4" customWidth="1"/>
    <col min="10244" max="10244" width="11.28515625" style="4" customWidth="1"/>
    <col min="10245" max="10245" width="0" style="4" hidden="1" customWidth="1"/>
    <col min="10246" max="10247" width="2.85546875" style="4" bestFit="1" customWidth="1"/>
    <col min="10248" max="10248" width="2.85546875" style="4" customWidth="1"/>
    <col min="10249" max="10250" width="2.85546875" style="4" bestFit="1" customWidth="1"/>
    <col min="10251" max="10259" width="2.85546875" style="4" customWidth="1"/>
    <col min="10260" max="10260" width="2.85546875" style="4" bestFit="1" customWidth="1"/>
    <col min="10261" max="10261" width="2.85546875" style="4" customWidth="1"/>
    <col min="10262" max="10496" width="9" style="4"/>
    <col min="10497" max="10497" width="8.140625" style="4" customWidth="1"/>
    <col min="10498" max="10498" width="13.28515625" style="4" customWidth="1"/>
    <col min="10499" max="10499" width="10.7109375" style="4" customWidth="1"/>
    <col min="10500" max="10500" width="11.28515625" style="4" customWidth="1"/>
    <col min="10501" max="10501" width="0" style="4" hidden="1" customWidth="1"/>
    <col min="10502" max="10503" width="2.85546875" style="4" bestFit="1" customWidth="1"/>
    <col min="10504" max="10504" width="2.85546875" style="4" customWidth="1"/>
    <col min="10505" max="10506" width="2.85546875" style="4" bestFit="1" customWidth="1"/>
    <col min="10507" max="10515" width="2.85546875" style="4" customWidth="1"/>
    <col min="10516" max="10516" width="2.85546875" style="4" bestFit="1" customWidth="1"/>
    <col min="10517" max="10517" width="2.85546875" style="4" customWidth="1"/>
    <col min="10518" max="10752" width="9" style="4"/>
    <col min="10753" max="10753" width="8.140625" style="4" customWidth="1"/>
    <col min="10754" max="10754" width="13.28515625" style="4" customWidth="1"/>
    <col min="10755" max="10755" width="10.7109375" style="4" customWidth="1"/>
    <col min="10756" max="10756" width="11.28515625" style="4" customWidth="1"/>
    <col min="10757" max="10757" width="0" style="4" hidden="1" customWidth="1"/>
    <col min="10758" max="10759" width="2.85546875" style="4" bestFit="1" customWidth="1"/>
    <col min="10760" max="10760" width="2.85546875" style="4" customWidth="1"/>
    <col min="10761" max="10762" width="2.85546875" style="4" bestFit="1" customWidth="1"/>
    <col min="10763" max="10771" width="2.85546875" style="4" customWidth="1"/>
    <col min="10772" max="10772" width="2.85546875" style="4" bestFit="1" customWidth="1"/>
    <col min="10773" max="10773" width="2.85546875" style="4" customWidth="1"/>
    <col min="10774" max="11008" width="9" style="4"/>
    <col min="11009" max="11009" width="8.140625" style="4" customWidth="1"/>
    <col min="11010" max="11010" width="13.28515625" style="4" customWidth="1"/>
    <col min="11011" max="11011" width="10.7109375" style="4" customWidth="1"/>
    <col min="11012" max="11012" width="11.28515625" style="4" customWidth="1"/>
    <col min="11013" max="11013" width="0" style="4" hidden="1" customWidth="1"/>
    <col min="11014" max="11015" width="2.85546875" style="4" bestFit="1" customWidth="1"/>
    <col min="11016" max="11016" width="2.85546875" style="4" customWidth="1"/>
    <col min="11017" max="11018" width="2.85546875" style="4" bestFit="1" customWidth="1"/>
    <col min="11019" max="11027" width="2.85546875" style="4" customWidth="1"/>
    <col min="11028" max="11028" width="2.85546875" style="4" bestFit="1" customWidth="1"/>
    <col min="11029" max="11029" width="2.85546875" style="4" customWidth="1"/>
    <col min="11030" max="11264" width="9" style="4"/>
    <col min="11265" max="11265" width="8.140625" style="4" customWidth="1"/>
    <col min="11266" max="11266" width="13.28515625" style="4" customWidth="1"/>
    <col min="11267" max="11267" width="10.7109375" style="4" customWidth="1"/>
    <col min="11268" max="11268" width="11.28515625" style="4" customWidth="1"/>
    <col min="11269" max="11269" width="0" style="4" hidden="1" customWidth="1"/>
    <col min="11270" max="11271" width="2.85546875" style="4" bestFit="1" customWidth="1"/>
    <col min="11272" max="11272" width="2.85546875" style="4" customWidth="1"/>
    <col min="11273" max="11274" width="2.85546875" style="4" bestFit="1" customWidth="1"/>
    <col min="11275" max="11283" width="2.85546875" style="4" customWidth="1"/>
    <col min="11284" max="11284" width="2.85546875" style="4" bestFit="1" customWidth="1"/>
    <col min="11285" max="11285" width="2.85546875" style="4" customWidth="1"/>
    <col min="11286" max="11520" width="9" style="4"/>
    <col min="11521" max="11521" width="8.140625" style="4" customWidth="1"/>
    <col min="11522" max="11522" width="13.28515625" style="4" customWidth="1"/>
    <col min="11523" max="11523" width="10.7109375" style="4" customWidth="1"/>
    <col min="11524" max="11524" width="11.28515625" style="4" customWidth="1"/>
    <col min="11525" max="11525" width="0" style="4" hidden="1" customWidth="1"/>
    <col min="11526" max="11527" width="2.85546875" style="4" bestFit="1" customWidth="1"/>
    <col min="11528" max="11528" width="2.85546875" style="4" customWidth="1"/>
    <col min="11529" max="11530" width="2.85546875" style="4" bestFit="1" customWidth="1"/>
    <col min="11531" max="11539" width="2.85546875" style="4" customWidth="1"/>
    <col min="11540" max="11540" width="2.85546875" style="4" bestFit="1" customWidth="1"/>
    <col min="11541" max="11541" width="2.85546875" style="4" customWidth="1"/>
    <col min="11542" max="11776" width="9" style="4"/>
    <col min="11777" max="11777" width="8.140625" style="4" customWidth="1"/>
    <col min="11778" max="11778" width="13.28515625" style="4" customWidth="1"/>
    <col min="11779" max="11779" width="10.7109375" style="4" customWidth="1"/>
    <col min="11780" max="11780" width="11.28515625" style="4" customWidth="1"/>
    <col min="11781" max="11781" width="0" style="4" hidden="1" customWidth="1"/>
    <col min="11782" max="11783" width="2.85546875" style="4" bestFit="1" customWidth="1"/>
    <col min="11784" max="11784" width="2.85546875" style="4" customWidth="1"/>
    <col min="11785" max="11786" width="2.85546875" style="4" bestFit="1" customWidth="1"/>
    <col min="11787" max="11795" width="2.85546875" style="4" customWidth="1"/>
    <col min="11796" max="11796" width="2.85546875" style="4" bestFit="1" customWidth="1"/>
    <col min="11797" max="11797" width="2.85546875" style="4" customWidth="1"/>
    <col min="11798" max="12032" width="9" style="4"/>
    <col min="12033" max="12033" width="8.140625" style="4" customWidth="1"/>
    <col min="12034" max="12034" width="13.28515625" style="4" customWidth="1"/>
    <col min="12035" max="12035" width="10.7109375" style="4" customWidth="1"/>
    <col min="12036" max="12036" width="11.28515625" style="4" customWidth="1"/>
    <col min="12037" max="12037" width="0" style="4" hidden="1" customWidth="1"/>
    <col min="12038" max="12039" width="2.85546875" style="4" bestFit="1" customWidth="1"/>
    <col min="12040" max="12040" width="2.85546875" style="4" customWidth="1"/>
    <col min="12041" max="12042" width="2.85546875" style="4" bestFit="1" customWidth="1"/>
    <col min="12043" max="12051" width="2.85546875" style="4" customWidth="1"/>
    <col min="12052" max="12052" width="2.85546875" style="4" bestFit="1" customWidth="1"/>
    <col min="12053" max="12053" width="2.85546875" style="4" customWidth="1"/>
    <col min="12054" max="12288" width="9" style="4"/>
    <col min="12289" max="12289" width="8.140625" style="4" customWidth="1"/>
    <col min="12290" max="12290" width="13.28515625" style="4" customWidth="1"/>
    <col min="12291" max="12291" width="10.7109375" style="4" customWidth="1"/>
    <col min="12292" max="12292" width="11.28515625" style="4" customWidth="1"/>
    <col min="12293" max="12293" width="0" style="4" hidden="1" customWidth="1"/>
    <col min="12294" max="12295" width="2.85546875" style="4" bestFit="1" customWidth="1"/>
    <col min="12296" max="12296" width="2.85546875" style="4" customWidth="1"/>
    <col min="12297" max="12298" width="2.85546875" style="4" bestFit="1" customWidth="1"/>
    <col min="12299" max="12307" width="2.85546875" style="4" customWidth="1"/>
    <col min="12308" max="12308" width="2.85546875" style="4" bestFit="1" customWidth="1"/>
    <col min="12309" max="12309" width="2.85546875" style="4" customWidth="1"/>
    <col min="12310" max="12544" width="9" style="4"/>
    <col min="12545" max="12545" width="8.140625" style="4" customWidth="1"/>
    <col min="12546" max="12546" width="13.28515625" style="4" customWidth="1"/>
    <col min="12547" max="12547" width="10.7109375" style="4" customWidth="1"/>
    <col min="12548" max="12548" width="11.28515625" style="4" customWidth="1"/>
    <col min="12549" max="12549" width="0" style="4" hidden="1" customWidth="1"/>
    <col min="12550" max="12551" width="2.85546875" style="4" bestFit="1" customWidth="1"/>
    <col min="12552" max="12552" width="2.85546875" style="4" customWidth="1"/>
    <col min="12553" max="12554" width="2.85546875" style="4" bestFit="1" customWidth="1"/>
    <col min="12555" max="12563" width="2.85546875" style="4" customWidth="1"/>
    <col min="12564" max="12564" width="2.85546875" style="4" bestFit="1" customWidth="1"/>
    <col min="12565" max="12565" width="2.85546875" style="4" customWidth="1"/>
    <col min="12566" max="12800" width="9" style="4"/>
    <col min="12801" max="12801" width="8.140625" style="4" customWidth="1"/>
    <col min="12802" max="12802" width="13.28515625" style="4" customWidth="1"/>
    <col min="12803" max="12803" width="10.7109375" style="4" customWidth="1"/>
    <col min="12804" max="12804" width="11.28515625" style="4" customWidth="1"/>
    <col min="12805" max="12805" width="0" style="4" hidden="1" customWidth="1"/>
    <col min="12806" max="12807" width="2.85546875" style="4" bestFit="1" customWidth="1"/>
    <col min="12808" max="12808" width="2.85546875" style="4" customWidth="1"/>
    <col min="12809" max="12810" width="2.85546875" style="4" bestFit="1" customWidth="1"/>
    <col min="12811" max="12819" width="2.85546875" style="4" customWidth="1"/>
    <col min="12820" max="12820" width="2.85546875" style="4" bestFit="1" customWidth="1"/>
    <col min="12821" max="12821" width="2.85546875" style="4" customWidth="1"/>
    <col min="12822" max="13056" width="9" style="4"/>
    <col min="13057" max="13057" width="8.140625" style="4" customWidth="1"/>
    <col min="13058" max="13058" width="13.28515625" style="4" customWidth="1"/>
    <col min="13059" max="13059" width="10.7109375" style="4" customWidth="1"/>
    <col min="13060" max="13060" width="11.28515625" style="4" customWidth="1"/>
    <col min="13061" max="13061" width="0" style="4" hidden="1" customWidth="1"/>
    <col min="13062" max="13063" width="2.85546875" style="4" bestFit="1" customWidth="1"/>
    <col min="13064" max="13064" width="2.85546875" style="4" customWidth="1"/>
    <col min="13065" max="13066" width="2.85546875" style="4" bestFit="1" customWidth="1"/>
    <col min="13067" max="13075" width="2.85546875" style="4" customWidth="1"/>
    <col min="13076" max="13076" width="2.85546875" style="4" bestFit="1" customWidth="1"/>
    <col min="13077" max="13077" width="2.85546875" style="4" customWidth="1"/>
    <col min="13078" max="13312" width="9" style="4"/>
    <col min="13313" max="13313" width="8.140625" style="4" customWidth="1"/>
    <col min="13314" max="13314" width="13.28515625" style="4" customWidth="1"/>
    <col min="13315" max="13315" width="10.7109375" style="4" customWidth="1"/>
    <col min="13316" max="13316" width="11.28515625" style="4" customWidth="1"/>
    <col min="13317" max="13317" width="0" style="4" hidden="1" customWidth="1"/>
    <col min="13318" max="13319" width="2.85546875" style="4" bestFit="1" customWidth="1"/>
    <col min="13320" max="13320" width="2.85546875" style="4" customWidth="1"/>
    <col min="13321" max="13322" width="2.85546875" style="4" bestFit="1" customWidth="1"/>
    <col min="13323" max="13331" width="2.85546875" style="4" customWidth="1"/>
    <col min="13332" max="13332" width="2.85546875" style="4" bestFit="1" customWidth="1"/>
    <col min="13333" max="13333" width="2.85546875" style="4" customWidth="1"/>
    <col min="13334" max="13568" width="9" style="4"/>
    <col min="13569" max="13569" width="8.140625" style="4" customWidth="1"/>
    <col min="13570" max="13570" width="13.28515625" style="4" customWidth="1"/>
    <col min="13571" max="13571" width="10.7109375" style="4" customWidth="1"/>
    <col min="13572" max="13572" width="11.28515625" style="4" customWidth="1"/>
    <col min="13573" max="13573" width="0" style="4" hidden="1" customWidth="1"/>
    <col min="13574" max="13575" width="2.85546875" style="4" bestFit="1" customWidth="1"/>
    <col min="13576" max="13576" width="2.85546875" style="4" customWidth="1"/>
    <col min="13577" max="13578" width="2.85546875" style="4" bestFit="1" customWidth="1"/>
    <col min="13579" max="13587" width="2.85546875" style="4" customWidth="1"/>
    <col min="13588" max="13588" width="2.85546875" style="4" bestFit="1" customWidth="1"/>
    <col min="13589" max="13589" width="2.85546875" style="4" customWidth="1"/>
    <col min="13590" max="13824" width="9" style="4"/>
    <col min="13825" max="13825" width="8.140625" style="4" customWidth="1"/>
    <col min="13826" max="13826" width="13.28515625" style="4" customWidth="1"/>
    <col min="13827" max="13827" width="10.7109375" style="4" customWidth="1"/>
    <col min="13828" max="13828" width="11.28515625" style="4" customWidth="1"/>
    <col min="13829" max="13829" width="0" style="4" hidden="1" customWidth="1"/>
    <col min="13830" max="13831" width="2.85546875" style="4" bestFit="1" customWidth="1"/>
    <col min="13832" max="13832" width="2.85546875" style="4" customWidth="1"/>
    <col min="13833" max="13834" width="2.85546875" style="4" bestFit="1" customWidth="1"/>
    <col min="13835" max="13843" width="2.85546875" style="4" customWidth="1"/>
    <col min="13844" max="13844" width="2.85546875" style="4" bestFit="1" customWidth="1"/>
    <col min="13845" max="13845" width="2.85546875" style="4" customWidth="1"/>
    <col min="13846" max="14080" width="9" style="4"/>
    <col min="14081" max="14081" width="8.140625" style="4" customWidth="1"/>
    <col min="14082" max="14082" width="13.28515625" style="4" customWidth="1"/>
    <col min="14083" max="14083" width="10.7109375" style="4" customWidth="1"/>
    <col min="14084" max="14084" width="11.28515625" style="4" customWidth="1"/>
    <col min="14085" max="14085" width="0" style="4" hidden="1" customWidth="1"/>
    <col min="14086" max="14087" width="2.85546875" style="4" bestFit="1" customWidth="1"/>
    <col min="14088" max="14088" width="2.85546875" style="4" customWidth="1"/>
    <col min="14089" max="14090" width="2.85546875" style="4" bestFit="1" customWidth="1"/>
    <col min="14091" max="14099" width="2.85546875" style="4" customWidth="1"/>
    <col min="14100" max="14100" width="2.85546875" style="4" bestFit="1" customWidth="1"/>
    <col min="14101" max="14101" width="2.85546875" style="4" customWidth="1"/>
    <col min="14102" max="14336" width="9" style="4"/>
    <col min="14337" max="14337" width="8.140625" style="4" customWidth="1"/>
    <col min="14338" max="14338" width="13.28515625" style="4" customWidth="1"/>
    <col min="14339" max="14339" width="10.7109375" style="4" customWidth="1"/>
    <col min="14340" max="14340" width="11.28515625" style="4" customWidth="1"/>
    <col min="14341" max="14341" width="0" style="4" hidden="1" customWidth="1"/>
    <col min="14342" max="14343" width="2.85546875" style="4" bestFit="1" customWidth="1"/>
    <col min="14344" max="14344" width="2.85546875" style="4" customWidth="1"/>
    <col min="14345" max="14346" width="2.85546875" style="4" bestFit="1" customWidth="1"/>
    <col min="14347" max="14355" width="2.85546875" style="4" customWidth="1"/>
    <col min="14356" max="14356" width="2.85546875" style="4" bestFit="1" customWidth="1"/>
    <col min="14357" max="14357" width="2.85546875" style="4" customWidth="1"/>
    <col min="14358" max="14592" width="9" style="4"/>
    <col min="14593" max="14593" width="8.140625" style="4" customWidth="1"/>
    <col min="14594" max="14594" width="13.28515625" style="4" customWidth="1"/>
    <col min="14595" max="14595" width="10.7109375" style="4" customWidth="1"/>
    <col min="14596" max="14596" width="11.28515625" style="4" customWidth="1"/>
    <col min="14597" max="14597" width="0" style="4" hidden="1" customWidth="1"/>
    <col min="14598" max="14599" width="2.85546875" style="4" bestFit="1" customWidth="1"/>
    <col min="14600" max="14600" width="2.85546875" style="4" customWidth="1"/>
    <col min="14601" max="14602" width="2.85546875" style="4" bestFit="1" customWidth="1"/>
    <col min="14603" max="14611" width="2.85546875" style="4" customWidth="1"/>
    <col min="14612" max="14612" width="2.85546875" style="4" bestFit="1" customWidth="1"/>
    <col min="14613" max="14613" width="2.85546875" style="4" customWidth="1"/>
    <col min="14614" max="14848" width="9" style="4"/>
    <col min="14849" max="14849" width="8.140625" style="4" customWidth="1"/>
    <col min="14850" max="14850" width="13.28515625" style="4" customWidth="1"/>
    <col min="14851" max="14851" width="10.7109375" style="4" customWidth="1"/>
    <col min="14852" max="14852" width="11.28515625" style="4" customWidth="1"/>
    <col min="14853" max="14853" width="0" style="4" hidden="1" customWidth="1"/>
    <col min="14854" max="14855" width="2.85546875" style="4" bestFit="1" customWidth="1"/>
    <col min="14856" max="14856" width="2.85546875" style="4" customWidth="1"/>
    <col min="14857" max="14858" width="2.85546875" style="4" bestFit="1" customWidth="1"/>
    <col min="14859" max="14867" width="2.85546875" style="4" customWidth="1"/>
    <col min="14868" max="14868" width="2.85546875" style="4" bestFit="1" customWidth="1"/>
    <col min="14869" max="14869" width="2.85546875" style="4" customWidth="1"/>
    <col min="14870" max="15104" width="9" style="4"/>
    <col min="15105" max="15105" width="8.140625" style="4" customWidth="1"/>
    <col min="15106" max="15106" width="13.28515625" style="4" customWidth="1"/>
    <col min="15107" max="15107" width="10.7109375" style="4" customWidth="1"/>
    <col min="15108" max="15108" width="11.28515625" style="4" customWidth="1"/>
    <col min="15109" max="15109" width="0" style="4" hidden="1" customWidth="1"/>
    <col min="15110" max="15111" width="2.85546875" style="4" bestFit="1" customWidth="1"/>
    <col min="15112" max="15112" width="2.85546875" style="4" customWidth="1"/>
    <col min="15113" max="15114" width="2.85546875" style="4" bestFit="1" customWidth="1"/>
    <col min="15115" max="15123" width="2.85546875" style="4" customWidth="1"/>
    <col min="15124" max="15124" width="2.85546875" style="4" bestFit="1" customWidth="1"/>
    <col min="15125" max="15125" width="2.85546875" style="4" customWidth="1"/>
    <col min="15126" max="15360" width="9" style="4"/>
    <col min="15361" max="15361" width="8.140625" style="4" customWidth="1"/>
    <col min="15362" max="15362" width="13.28515625" style="4" customWidth="1"/>
    <col min="15363" max="15363" width="10.7109375" style="4" customWidth="1"/>
    <col min="15364" max="15364" width="11.28515625" style="4" customWidth="1"/>
    <col min="15365" max="15365" width="0" style="4" hidden="1" customWidth="1"/>
    <col min="15366" max="15367" width="2.85546875" style="4" bestFit="1" customWidth="1"/>
    <col min="15368" max="15368" width="2.85546875" style="4" customWidth="1"/>
    <col min="15369" max="15370" width="2.85546875" style="4" bestFit="1" customWidth="1"/>
    <col min="15371" max="15379" width="2.85546875" style="4" customWidth="1"/>
    <col min="15380" max="15380" width="2.85546875" style="4" bestFit="1" customWidth="1"/>
    <col min="15381" max="15381" width="2.85546875" style="4" customWidth="1"/>
    <col min="15382" max="15616" width="9" style="4"/>
    <col min="15617" max="15617" width="8.140625" style="4" customWidth="1"/>
    <col min="15618" max="15618" width="13.28515625" style="4" customWidth="1"/>
    <col min="15619" max="15619" width="10.7109375" style="4" customWidth="1"/>
    <col min="15620" max="15620" width="11.28515625" style="4" customWidth="1"/>
    <col min="15621" max="15621" width="0" style="4" hidden="1" customWidth="1"/>
    <col min="15622" max="15623" width="2.85546875" style="4" bestFit="1" customWidth="1"/>
    <col min="15624" max="15624" width="2.85546875" style="4" customWidth="1"/>
    <col min="15625" max="15626" width="2.85546875" style="4" bestFit="1" customWidth="1"/>
    <col min="15627" max="15635" width="2.85546875" style="4" customWidth="1"/>
    <col min="15636" max="15636" width="2.85546875" style="4" bestFit="1" customWidth="1"/>
    <col min="15637" max="15637" width="2.85546875" style="4" customWidth="1"/>
    <col min="15638" max="15872" width="9" style="4"/>
    <col min="15873" max="15873" width="8.140625" style="4" customWidth="1"/>
    <col min="15874" max="15874" width="13.28515625" style="4" customWidth="1"/>
    <col min="15875" max="15875" width="10.7109375" style="4" customWidth="1"/>
    <col min="15876" max="15876" width="11.28515625" style="4" customWidth="1"/>
    <col min="15877" max="15877" width="0" style="4" hidden="1" customWidth="1"/>
    <col min="15878" max="15879" width="2.85546875" style="4" bestFit="1" customWidth="1"/>
    <col min="15880" max="15880" width="2.85546875" style="4" customWidth="1"/>
    <col min="15881" max="15882" width="2.85546875" style="4" bestFit="1" customWidth="1"/>
    <col min="15883" max="15891" width="2.85546875" style="4" customWidth="1"/>
    <col min="15892" max="15892" width="2.85546875" style="4" bestFit="1" customWidth="1"/>
    <col min="15893" max="15893" width="2.85546875" style="4" customWidth="1"/>
    <col min="15894" max="16128" width="9" style="4"/>
    <col min="16129" max="16129" width="8.140625" style="4" customWidth="1"/>
    <col min="16130" max="16130" width="13.28515625" style="4" customWidth="1"/>
    <col min="16131" max="16131" width="10.7109375" style="4" customWidth="1"/>
    <col min="16132" max="16132" width="11.28515625" style="4" customWidth="1"/>
    <col min="16133" max="16133" width="0" style="4" hidden="1" customWidth="1"/>
    <col min="16134" max="16135" width="2.85546875" style="4" bestFit="1" customWidth="1"/>
    <col min="16136" max="16136" width="2.85546875" style="4" customWidth="1"/>
    <col min="16137" max="16138" width="2.85546875" style="4" bestFit="1" customWidth="1"/>
    <col min="16139" max="16147" width="2.85546875" style="4" customWidth="1"/>
    <col min="16148" max="16148" width="2.85546875" style="4" bestFit="1" customWidth="1"/>
    <col min="16149" max="16149" width="2.85546875" style="4" customWidth="1"/>
    <col min="16150" max="16384" width="9" style="4"/>
  </cols>
  <sheetData>
    <row r="1" spans="1:22" ht="13.5" customHeight="1">
      <c r="A1" s="103" t="s">
        <v>6</v>
      </c>
      <c r="B1" s="104"/>
      <c r="C1" s="105" t="s">
        <v>84</v>
      </c>
      <c r="D1" s="106"/>
      <c r="E1" s="107"/>
      <c r="F1" s="108" t="s">
        <v>7</v>
      </c>
      <c r="G1" s="109"/>
      <c r="H1" s="109"/>
      <c r="I1" s="109"/>
      <c r="J1" s="109"/>
      <c r="K1" s="109"/>
      <c r="L1" s="110" t="s">
        <v>84</v>
      </c>
      <c r="M1" s="111"/>
      <c r="N1" s="111"/>
      <c r="O1" s="111"/>
      <c r="P1" s="111"/>
      <c r="Q1" s="111"/>
      <c r="R1" s="111"/>
      <c r="S1" s="111"/>
      <c r="T1" s="112"/>
    </row>
    <row r="2" spans="1:22" ht="13.5" customHeight="1">
      <c r="A2" s="113" t="s">
        <v>8</v>
      </c>
      <c r="B2" s="114"/>
      <c r="C2" s="115" t="s">
        <v>82</v>
      </c>
      <c r="D2" s="116"/>
      <c r="E2" s="117"/>
      <c r="F2" s="118" t="s">
        <v>9</v>
      </c>
      <c r="G2" s="119"/>
      <c r="H2" s="119"/>
      <c r="I2" s="119"/>
      <c r="J2" s="119"/>
      <c r="K2" s="120"/>
      <c r="L2" s="121"/>
      <c r="M2" s="121"/>
      <c r="N2" s="121"/>
      <c r="O2" s="6"/>
      <c r="P2" s="6"/>
      <c r="Q2" s="6"/>
      <c r="R2" s="6"/>
      <c r="S2" s="6"/>
      <c r="T2" s="7"/>
    </row>
    <row r="3" spans="1:22" ht="13.5" customHeight="1">
      <c r="A3" s="113" t="s">
        <v>10</v>
      </c>
      <c r="B3" s="114"/>
      <c r="C3" s="129">
        <v>32</v>
      </c>
      <c r="D3" s="130"/>
      <c r="E3" s="8"/>
      <c r="F3" s="118" t="s">
        <v>11</v>
      </c>
      <c r="G3" s="119"/>
      <c r="H3" s="119"/>
      <c r="I3" s="119"/>
      <c r="J3" s="119"/>
      <c r="K3" s="120"/>
      <c r="L3" s="131">
        <v>-1</v>
      </c>
      <c r="M3" s="132"/>
      <c r="N3" s="132"/>
      <c r="O3" s="132"/>
      <c r="P3" s="132"/>
      <c r="Q3" s="132"/>
      <c r="R3" s="132"/>
      <c r="S3" s="132"/>
      <c r="T3" s="133"/>
    </row>
    <row r="4" spans="1:22" ht="13.5" customHeight="1">
      <c r="A4" s="113" t="s">
        <v>12</v>
      </c>
      <c r="B4" s="114"/>
      <c r="C4" s="134" t="s">
        <v>83</v>
      </c>
      <c r="D4" s="134"/>
      <c r="E4" s="134"/>
      <c r="F4" s="135"/>
      <c r="G4" s="135"/>
      <c r="H4" s="135"/>
      <c r="I4" s="135"/>
      <c r="J4" s="135"/>
      <c r="K4" s="135"/>
      <c r="L4" s="134"/>
      <c r="M4" s="134"/>
      <c r="N4" s="134"/>
      <c r="O4" s="134"/>
      <c r="P4" s="134"/>
      <c r="Q4" s="134"/>
      <c r="R4" s="134"/>
      <c r="S4" s="134"/>
      <c r="T4" s="134"/>
    </row>
    <row r="5" spans="1:22" ht="13.5" customHeight="1">
      <c r="A5" s="136" t="s">
        <v>13</v>
      </c>
      <c r="B5" s="137"/>
      <c r="C5" s="138" t="s">
        <v>14</v>
      </c>
      <c r="D5" s="139"/>
      <c r="E5" s="140"/>
      <c r="F5" s="138" t="s">
        <v>15</v>
      </c>
      <c r="G5" s="139"/>
      <c r="H5" s="139"/>
      <c r="I5" s="139"/>
      <c r="J5" s="139"/>
      <c r="K5" s="141"/>
      <c r="L5" s="139" t="s">
        <v>16</v>
      </c>
      <c r="M5" s="139"/>
      <c r="N5" s="139"/>
      <c r="O5" s="142" t="s">
        <v>17</v>
      </c>
      <c r="P5" s="139"/>
      <c r="Q5" s="139"/>
      <c r="R5" s="139"/>
      <c r="S5" s="139"/>
      <c r="T5" s="143"/>
    </row>
    <row r="6" spans="1:22" ht="13.5" customHeight="1" thickBot="1">
      <c r="A6" s="122">
        <f>COUNTIF(F48:HQ48,"P")</f>
        <v>12</v>
      </c>
      <c r="B6" s="123"/>
      <c r="C6" s="124">
        <f>COUNTIF(F48:HQ48,"F")</f>
        <v>0</v>
      </c>
      <c r="D6" s="125"/>
      <c r="E6" s="123"/>
      <c r="F6" s="124">
        <f>SUM(O6,- A6,- C6)</f>
        <v>0</v>
      </c>
      <c r="G6" s="125"/>
      <c r="H6" s="125"/>
      <c r="I6" s="125"/>
      <c r="J6" s="125"/>
      <c r="K6" s="126"/>
      <c r="L6" s="9">
        <f>COUNTIF(E47:HQ47,"N")</f>
        <v>10</v>
      </c>
      <c r="M6" s="9">
        <f>COUNTIF(E47:HQ47,"A")</f>
        <v>2</v>
      </c>
      <c r="N6" s="9">
        <f>COUNTIF(E47:HQ47,"B")</f>
        <v>0</v>
      </c>
      <c r="O6" s="127">
        <f>COUNTA(E8:HT8)</f>
        <v>12</v>
      </c>
      <c r="P6" s="125"/>
      <c r="Q6" s="125"/>
      <c r="R6" s="125"/>
      <c r="S6" s="125"/>
      <c r="T6" s="128"/>
      <c r="U6" s="10"/>
    </row>
    <row r="7" spans="1:22" ht="11.25" thickBot="1"/>
    <row r="8" spans="1:22" ht="46.5" customHeight="1" thickBot="1">
      <c r="A8" s="152"/>
      <c r="B8" s="153"/>
      <c r="C8" s="153"/>
      <c r="D8" s="153"/>
      <c r="E8" s="13"/>
      <c r="F8" s="14" t="s">
        <v>18</v>
      </c>
      <c r="G8" s="14" t="s">
        <v>19</v>
      </c>
      <c r="H8" s="14" t="s">
        <v>20</v>
      </c>
      <c r="I8" s="14" t="s">
        <v>78</v>
      </c>
      <c r="J8" s="14" t="s">
        <v>77</v>
      </c>
      <c r="K8" s="14" t="s">
        <v>76</v>
      </c>
      <c r="L8" s="14" t="s">
        <v>75</v>
      </c>
      <c r="M8" s="14" t="s">
        <v>74</v>
      </c>
      <c r="N8" s="14" t="s">
        <v>73</v>
      </c>
      <c r="O8" s="14" t="s">
        <v>72</v>
      </c>
      <c r="P8" s="14" t="s">
        <v>70</v>
      </c>
      <c r="Q8" s="14" t="s">
        <v>71</v>
      </c>
      <c r="R8" s="15"/>
      <c r="S8" s="15"/>
      <c r="T8" s="16"/>
      <c r="U8" s="2"/>
      <c r="V8" s="17"/>
    </row>
    <row r="9" spans="1:22" ht="13.5" customHeight="1">
      <c r="A9" s="18" t="s">
        <v>21</v>
      </c>
      <c r="B9" s="19" t="s">
        <v>22</v>
      </c>
      <c r="C9" s="20"/>
      <c r="D9" s="21"/>
      <c r="E9" s="75"/>
      <c r="F9" s="22"/>
      <c r="G9" s="22"/>
      <c r="H9" s="22"/>
      <c r="I9" s="22"/>
      <c r="J9" s="22"/>
      <c r="K9" s="22"/>
      <c r="L9" s="22"/>
      <c r="M9" s="22"/>
      <c r="N9" s="22"/>
      <c r="O9" s="22"/>
      <c r="P9" s="22"/>
      <c r="Q9" s="22"/>
      <c r="R9" s="22"/>
      <c r="S9" s="22"/>
      <c r="T9" s="23"/>
    </row>
    <row r="10" spans="1:22" ht="13.5" customHeight="1">
      <c r="A10" s="24"/>
      <c r="B10" s="25"/>
      <c r="C10" s="26"/>
      <c r="D10" s="27"/>
      <c r="E10" s="76"/>
      <c r="F10" s="28"/>
      <c r="G10" s="28"/>
      <c r="H10" s="28"/>
      <c r="I10" s="28"/>
      <c r="J10" s="28"/>
      <c r="K10" s="28"/>
      <c r="L10" s="28"/>
      <c r="M10" s="28"/>
      <c r="N10" s="28"/>
      <c r="O10" s="28"/>
      <c r="P10" s="28"/>
      <c r="Q10" s="28"/>
      <c r="R10" s="28"/>
      <c r="S10" s="28"/>
      <c r="T10" s="29"/>
      <c r="V10" s="17"/>
    </row>
    <row r="11" spans="1:22" ht="13.5" customHeight="1">
      <c r="A11" s="24"/>
      <c r="B11" s="25"/>
      <c r="C11" s="26"/>
      <c r="D11" s="27"/>
      <c r="E11" s="76"/>
      <c r="F11" s="28"/>
      <c r="G11" s="28"/>
      <c r="H11" s="28"/>
      <c r="I11" s="28"/>
      <c r="J11" s="28"/>
      <c r="K11" s="28"/>
      <c r="L11" s="28"/>
      <c r="M11" s="28"/>
      <c r="N11" s="28"/>
      <c r="O11" s="28"/>
      <c r="P11" s="28"/>
      <c r="Q11" s="28"/>
      <c r="R11" s="28"/>
      <c r="S11" s="28"/>
      <c r="T11" s="29"/>
    </row>
    <row r="12" spans="1:22" ht="13.5" customHeight="1">
      <c r="A12" s="24"/>
      <c r="B12" s="25" t="s">
        <v>23</v>
      </c>
      <c r="C12" s="26"/>
      <c r="D12" s="27"/>
      <c r="E12" s="30"/>
      <c r="F12" s="28"/>
      <c r="G12" s="28"/>
      <c r="H12" s="28"/>
      <c r="I12" s="28"/>
      <c r="J12" s="28"/>
      <c r="K12" s="28"/>
      <c r="L12" s="28"/>
      <c r="M12" s="28"/>
      <c r="N12" s="28"/>
      <c r="O12" s="28"/>
      <c r="P12" s="28"/>
      <c r="Q12" s="28"/>
      <c r="R12" s="28"/>
      <c r="S12" s="28"/>
      <c r="T12" s="29"/>
    </row>
    <row r="13" spans="1:22" ht="15.6" customHeight="1">
      <c r="A13" s="24"/>
      <c r="B13" s="87" t="s">
        <v>61</v>
      </c>
      <c r="C13" s="88"/>
      <c r="D13" s="85"/>
      <c r="E13" s="89"/>
      <c r="F13" s="28"/>
      <c r="G13" s="28"/>
      <c r="H13" s="28"/>
      <c r="I13" s="28"/>
      <c r="J13" s="28"/>
      <c r="K13" s="28"/>
      <c r="L13" s="28"/>
      <c r="M13" s="28"/>
      <c r="N13" s="28"/>
      <c r="O13" s="28"/>
      <c r="P13" s="28"/>
      <c r="Q13" s="28"/>
      <c r="R13" s="28"/>
      <c r="S13" s="28"/>
      <c r="T13" s="29"/>
    </row>
    <row r="14" spans="1:22" ht="13.5" customHeight="1">
      <c r="A14" s="24"/>
      <c r="B14" s="87"/>
      <c r="C14" s="88"/>
      <c r="D14" s="85" t="s">
        <v>25</v>
      </c>
      <c r="E14" s="89"/>
      <c r="F14" s="28" t="s">
        <v>24</v>
      </c>
      <c r="G14" s="28" t="s">
        <v>24</v>
      </c>
      <c r="H14" s="28"/>
      <c r="I14" s="28"/>
      <c r="J14" s="28"/>
      <c r="K14" s="28"/>
      <c r="L14" s="28"/>
      <c r="M14" s="28"/>
      <c r="N14" s="28"/>
      <c r="O14" s="28"/>
      <c r="P14" s="28"/>
      <c r="Q14" s="28"/>
      <c r="R14" s="28"/>
      <c r="S14" s="28"/>
      <c r="T14" s="29"/>
    </row>
    <row r="15" spans="1:22" ht="13.5" customHeight="1">
      <c r="A15" s="24"/>
      <c r="B15" s="87"/>
      <c r="C15" s="88"/>
      <c r="D15" s="85" t="s">
        <v>62</v>
      </c>
      <c r="E15" s="89"/>
      <c r="F15" s="28"/>
      <c r="G15" s="28"/>
      <c r="H15" s="28" t="s">
        <v>24</v>
      </c>
      <c r="I15" s="28" t="s">
        <v>24</v>
      </c>
      <c r="J15" s="28"/>
      <c r="K15" s="28"/>
      <c r="L15" s="28"/>
      <c r="M15" s="28"/>
      <c r="N15" s="28"/>
      <c r="O15" s="28"/>
      <c r="P15" s="28"/>
      <c r="Q15" s="28"/>
      <c r="R15" s="28"/>
      <c r="S15" s="28"/>
      <c r="T15" s="29"/>
    </row>
    <row r="16" spans="1:22" ht="13.5" customHeight="1">
      <c r="A16" s="24"/>
      <c r="B16" s="87"/>
      <c r="C16" s="88"/>
      <c r="D16" s="85" t="s">
        <v>63</v>
      </c>
      <c r="E16" s="89"/>
      <c r="F16" s="28"/>
      <c r="G16" s="28"/>
      <c r="H16" s="28"/>
      <c r="I16" s="28"/>
      <c r="J16" s="28" t="s">
        <v>24</v>
      </c>
      <c r="K16" s="28" t="s">
        <v>24</v>
      </c>
      <c r="L16" s="28" t="s">
        <v>24</v>
      </c>
      <c r="M16" s="28" t="s">
        <v>24</v>
      </c>
      <c r="N16" s="28"/>
      <c r="O16" s="28"/>
      <c r="P16" s="28"/>
      <c r="Q16" s="28"/>
      <c r="R16" s="28"/>
      <c r="S16" s="28"/>
      <c r="T16" s="29"/>
    </row>
    <row r="17" spans="1:21" ht="13.5" customHeight="1">
      <c r="A17" s="24"/>
      <c r="B17" s="87"/>
      <c r="C17" s="88"/>
      <c r="D17" s="85" t="s">
        <v>64</v>
      </c>
      <c r="E17" s="89"/>
      <c r="F17" s="28"/>
      <c r="G17" s="28"/>
      <c r="H17" s="28"/>
      <c r="I17" s="28"/>
      <c r="J17" s="28"/>
      <c r="K17" s="28"/>
      <c r="L17" s="28"/>
      <c r="M17" s="28"/>
      <c r="N17" s="28" t="s">
        <v>24</v>
      </c>
      <c r="O17" s="28" t="s">
        <v>24</v>
      </c>
      <c r="P17" s="28" t="s">
        <v>24</v>
      </c>
      <c r="Q17" s="28" t="s">
        <v>24</v>
      </c>
      <c r="R17" s="28"/>
      <c r="S17" s="28"/>
      <c r="T17" s="29"/>
      <c r="U17" s="31"/>
    </row>
    <row r="18" spans="1:21" ht="13.5" customHeight="1">
      <c r="A18" s="24"/>
      <c r="B18" s="87" t="s">
        <v>65</v>
      </c>
      <c r="C18" s="88"/>
      <c r="D18" s="154"/>
      <c r="E18" s="155"/>
      <c r="F18" s="28"/>
      <c r="G18" s="28"/>
      <c r="H18" s="28"/>
      <c r="I18" s="28"/>
      <c r="J18" s="28"/>
      <c r="K18" s="28"/>
      <c r="L18" s="28"/>
      <c r="M18" s="28"/>
      <c r="N18" s="28"/>
      <c r="O18" s="28"/>
      <c r="P18" s="28"/>
      <c r="Q18" s="28"/>
      <c r="R18" s="28"/>
      <c r="S18" s="28"/>
      <c r="T18" s="29"/>
    </row>
    <row r="19" spans="1:21" ht="13.5" customHeight="1">
      <c r="A19" s="24"/>
      <c r="B19" s="87"/>
      <c r="C19" s="88"/>
      <c r="D19" s="156">
        <v>67</v>
      </c>
      <c r="E19" s="157"/>
      <c r="F19" s="28" t="s">
        <v>24</v>
      </c>
      <c r="G19" s="28" t="s">
        <v>24</v>
      </c>
      <c r="H19" s="28" t="s">
        <v>24</v>
      </c>
      <c r="I19" s="28" t="s">
        <v>24</v>
      </c>
      <c r="J19" s="28" t="s">
        <v>24</v>
      </c>
      <c r="K19" s="28" t="s">
        <v>24</v>
      </c>
      <c r="L19" s="28"/>
      <c r="M19" s="28"/>
      <c r="N19" s="28" t="s">
        <v>24</v>
      </c>
      <c r="O19" s="28" t="s">
        <v>24</v>
      </c>
      <c r="P19" s="28"/>
      <c r="Q19" s="28"/>
      <c r="R19" s="28"/>
      <c r="S19" s="28"/>
      <c r="T19" s="29"/>
    </row>
    <row r="20" spans="1:21" ht="13.5" customHeight="1">
      <c r="A20" s="24"/>
      <c r="B20" s="87"/>
      <c r="C20" s="88"/>
      <c r="D20" s="154">
        <v>100</v>
      </c>
      <c r="E20" s="155"/>
      <c r="F20" s="28"/>
      <c r="G20" s="28"/>
      <c r="H20" s="28"/>
      <c r="I20" s="28"/>
      <c r="J20" s="28"/>
      <c r="K20" s="28"/>
      <c r="L20" s="28"/>
      <c r="M20" s="28"/>
      <c r="N20" s="28"/>
      <c r="O20" s="28"/>
      <c r="P20" s="28" t="s">
        <v>24</v>
      </c>
      <c r="Q20" s="28" t="s">
        <v>24</v>
      </c>
      <c r="R20" s="28"/>
      <c r="S20" s="28"/>
      <c r="T20" s="29"/>
    </row>
    <row r="21" spans="1:21" ht="13.5" customHeight="1">
      <c r="A21" s="24"/>
      <c r="B21" s="87"/>
      <c r="C21" s="88"/>
      <c r="D21" s="85">
        <v>500</v>
      </c>
      <c r="E21" s="89"/>
      <c r="F21" s="28"/>
      <c r="G21" s="28"/>
      <c r="H21" s="28"/>
      <c r="I21" s="28"/>
      <c r="J21" s="28"/>
      <c r="K21" s="28"/>
      <c r="L21" s="28" t="s">
        <v>24</v>
      </c>
      <c r="M21" s="28" t="s">
        <v>24</v>
      </c>
      <c r="N21" s="28"/>
      <c r="O21" s="28"/>
      <c r="P21" s="28"/>
      <c r="Q21" s="28"/>
      <c r="R21" s="28"/>
      <c r="S21" s="28"/>
      <c r="T21" s="29"/>
    </row>
    <row r="22" spans="1:21" ht="13.5" customHeight="1">
      <c r="A22" s="24"/>
      <c r="B22" s="87" t="s">
        <v>66</v>
      </c>
      <c r="C22" s="88"/>
      <c r="D22" s="154"/>
      <c r="E22" s="155"/>
      <c r="F22" s="28"/>
      <c r="G22" s="28"/>
      <c r="H22" s="28"/>
      <c r="I22" s="28"/>
      <c r="J22" s="28"/>
      <c r="K22" s="28"/>
      <c r="L22" s="28"/>
      <c r="M22" s="28"/>
      <c r="N22" s="28"/>
      <c r="O22" s="28"/>
      <c r="P22" s="28"/>
      <c r="Q22" s="28"/>
      <c r="R22" s="28"/>
      <c r="S22" s="28"/>
      <c r="T22" s="29"/>
    </row>
    <row r="23" spans="1:21" ht="13.5" customHeight="1">
      <c r="A23" s="24"/>
      <c r="B23" s="87"/>
      <c r="C23" s="88"/>
      <c r="D23" s="156" t="b">
        <v>0</v>
      </c>
      <c r="E23" s="157"/>
      <c r="F23" s="28" t="s">
        <v>24</v>
      </c>
      <c r="G23" s="28"/>
      <c r="H23" s="28" t="s">
        <v>24</v>
      </c>
      <c r="I23" s="28"/>
      <c r="J23" s="28" t="s">
        <v>24</v>
      </c>
      <c r="K23" s="28"/>
      <c r="L23" s="28" t="s">
        <v>24</v>
      </c>
      <c r="M23" s="28"/>
      <c r="N23" s="28" t="s">
        <v>24</v>
      </c>
      <c r="O23" s="28"/>
      <c r="P23" s="28" t="s">
        <v>24</v>
      </c>
      <c r="Q23" s="28"/>
      <c r="R23" s="28"/>
      <c r="S23" s="28"/>
      <c r="T23" s="29"/>
    </row>
    <row r="24" spans="1:21" ht="13.5" customHeight="1">
      <c r="A24" s="24"/>
      <c r="B24" s="87"/>
      <c r="C24" s="88"/>
      <c r="D24" s="154" t="b">
        <v>1</v>
      </c>
      <c r="E24" s="155"/>
      <c r="F24" s="28"/>
      <c r="G24" s="28" t="s">
        <v>24</v>
      </c>
      <c r="H24" s="28"/>
      <c r="I24" s="28" t="s">
        <v>24</v>
      </c>
      <c r="J24" s="28"/>
      <c r="K24" s="28" t="s">
        <v>24</v>
      </c>
      <c r="L24" s="28"/>
      <c r="M24" s="28" t="s">
        <v>24</v>
      </c>
      <c r="N24" s="28"/>
      <c r="O24" s="28" t="s">
        <v>24</v>
      </c>
      <c r="P24" s="28"/>
      <c r="Q24" s="28" t="s">
        <v>24</v>
      </c>
      <c r="R24" s="28"/>
      <c r="S24" s="28"/>
      <c r="T24" s="29"/>
    </row>
    <row r="25" spans="1:21" ht="13.5" customHeight="1">
      <c r="A25" s="24"/>
      <c r="B25" s="87"/>
      <c r="C25" s="88"/>
      <c r="D25" s="85"/>
      <c r="E25" s="89"/>
      <c r="F25" s="28"/>
      <c r="G25" s="28"/>
      <c r="H25" s="28"/>
      <c r="I25" s="28"/>
      <c r="J25" s="28"/>
      <c r="K25" s="28"/>
      <c r="L25" s="28"/>
      <c r="M25" s="28"/>
      <c r="N25" s="28"/>
      <c r="O25" s="28"/>
      <c r="P25" s="28"/>
      <c r="Q25" s="28"/>
      <c r="R25" s="28"/>
      <c r="S25" s="28"/>
      <c r="T25" s="29"/>
    </row>
    <row r="26" spans="1:21" ht="13.5" customHeight="1">
      <c r="A26" s="24"/>
      <c r="B26" s="87"/>
      <c r="C26" s="88"/>
      <c r="D26" s="85"/>
      <c r="E26" s="89"/>
      <c r="F26" s="28"/>
      <c r="G26" s="28"/>
      <c r="H26" s="28"/>
      <c r="I26" s="28"/>
      <c r="J26" s="28"/>
      <c r="K26" s="28"/>
      <c r="L26" s="28"/>
      <c r="M26" s="28"/>
      <c r="N26" s="28"/>
      <c r="O26" s="28"/>
      <c r="P26" s="28"/>
      <c r="Q26" s="28"/>
      <c r="R26" s="28"/>
      <c r="S26" s="28"/>
      <c r="T26" s="29"/>
    </row>
    <row r="27" spans="1:21" ht="13.5" customHeight="1">
      <c r="A27" s="24"/>
      <c r="B27" s="87"/>
      <c r="C27" s="88"/>
      <c r="D27" s="85"/>
      <c r="E27" s="89"/>
      <c r="F27" s="28"/>
      <c r="G27" s="28"/>
      <c r="H27" s="28"/>
      <c r="I27" s="28"/>
      <c r="J27" s="28"/>
      <c r="K27" s="28"/>
      <c r="L27" s="28"/>
      <c r="M27" s="28"/>
      <c r="N27" s="28"/>
      <c r="O27" s="28"/>
      <c r="P27" s="28"/>
      <c r="Q27" s="28"/>
      <c r="R27" s="28"/>
      <c r="S27" s="28"/>
      <c r="T27" s="29"/>
    </row>
    <row r="28" spans="1:21" ht="13.5" customHeight="1">
      <c r="A28" s="24"/>
      <c r="B28" s="90"/>
      <c r="C28" s="88"/>
      <c r="D28" s="85"/>
      <c r="E28" s="89"/>
      <c r="F28" s="28"/>
      <c r="G28" s="28"/>
      <c r="H28" s="28"/>
      <c r="I28" s="28"/>
      <c r="J28" s="28"/>
      <c r="K28" s="28"/>
      <c r="L28" s="28"/>
      <c r="M28" s="28"/>
      <c r="N28" s="28"/>
      <c r="O28" s="28"/>
      <c r="P28" s="28"/>
      <c r="Q28" s="28"/>
      <c r="R28" s="28"/>
      <c r="S28" s="28"/>
      <c r="T28" s="29"/>
    </row>
    <row r="29" spans="1:21" ht="13.5" customHeight="1" thickBot="1">
      <c r="A29" s="32"/>
      <c r="B29" s="91"/>
      <c r="C29" s="92"/>
      <c r="D29" s="86"/>
      <c r="E29" s="89"/>
      <c r="F29" s="33"/>
      <c r="G29" s="33"/>
      <c r="H29" s="33"/>
      <c r="I29" s="33"/>
      <c r="J29" s="33"/>
      <c r="K29" s="33"/>
      <c r="L29" s="33"/>
      <c r="M29" s="33"/>
      <c r="N29" s="33"/>
      <c r="O29" s="33"/>
      <c r="P29" s="33"/>
      <c r="Q29" s="33"/>
      <c r="R29" s="33"/>
      <c r="S29" s="33"/>
      <c r="T29" s="34"/>
    </row>
    <row r="30" spans="1:21" ht="13.5" customHeight="1">
      <c r="A30" s="35" t="s">
        <v>26</v>
      </c>
      <c r="B30" s="36" t="s">
        <v>27</v>
      </c>
      <c r="C30" s="37"/>
      <c r="D30" s="38"/>
      <c r="E30" s="77"/>
      <c r="F30" s="39"/>
      <c r="G30" s="39"/>
      <c r="H30" s="39"/>
      <c r="I30" s="39"/>
      <c r="J30" s="39"/>
      <c r="K30" s="39"/>
      <c r="L30" s="39"/>
      <c r="M30" s="39"/>
      <c r="N30" s="39"/>
      <c r="O30" s="39"/>
      <c r="P30" s="39"/>
      <c r="Q30" s="39"/>
      <c r="R30" s="39"/>
      <c r="S30" s="39"/>
      <c r="T30" s="40"/>
    </row>
    <row r="31" spans="1:21" ht="13.5" customHeight="1">
      <c r="A31" s="41"/>
      <c r="B31" s="94"/>
      <c r="C31" s="95"/>
      <c r="D31" s="93" t="s">
        <v>67</v>
      </c>
      <c r="E31" s="78"/>
      <c r="F31" s="28"/>
      <c r="G31" s="28"/>
      <c r="H31" s="28" t="s">
        <v>24</v>
      </c>
      <c r="I31" s="28"/>
      <c r="J31" s="28"/>
      <c r="K31" s="28"/>
      <c r="L31" s="28"/>
      <c r="M31" s="28"/>
      <c r="N31" s="28"/>
      <c r="O31" s="28"/>
      <c r="P31" s="28"/>
      <c r="Q31" s="28"/>
      <c r="R31" s="28"/>
      <c r="S31" s="28"/>
      <c r="T31" s="29"/>
    </row>
    <row r="32" spans="1:21" ht="13.5" customHeight="1">
      <c r="A32" s="41"/>
      <c r="B32" s="94"/>
      <c r="C32" s="95"/>
      <c r="D32" s="93" t="s">
        <v>68</v>
      </c>
      <c r="E32" s="78"/>
      <c r="F32" s="28"/>
      <c r="G32" s="28"/>
      <c r="H32" s="54"/>
      <c r="I32" s="28" t="s">
        <v>24</v>
      </c>
      <c r="J32" s="28"/>
      <c r="K32" s="28"/>
      <c r="L32" s="28"/>
      <c r="M32" s="28"/>
      <c r="N32" s="28"/>
      <c r="O32" s="28"/>
      <c r="P32" s="28"/>
      <c r="Q32" s="28"/>
      <c r="R32" s="28"/>
      <c r="S32" s="28"/>
      <c r="T32" s="29"/>
    </row>
    <row r="33" spans="1:20" ht="13.5" customHeight="1">
      <c r="A33" s="41"/>
      <c r="B33" s="94"/>
      <c r="C33" s="95"/>
      <c r="D33" s="93" t="s">
        <v>69</v>
      </c>
      <c r="E33" s="78"/>
      <c r="F33" s="28"/>
      <c r="G33" s="28"/>
      <c r="H33" s="54"/>
      <c r="I33" s="28"/>
      <c r="J33" s="28" t="s">
        <v>24</v>
      </c>
      <c r="K33" s="28"/>
      <c r="L33" s="28"/>
      <c r="M33" s="28"/>
      <c r="N33" s="28"/>
      <c r="O33" s="28"/>
      <c r="P33" s="28"/>
      <c r="Q33" s="28"/>
      <c r="R33" s="28"/>
      <c r="S33" s="28"/>
      <c r="T33" s="29"/>
    </row>
    <row r="34" spans="1:20" ht="13.5" customHeight="1">
      <c r="A34" s="41"/>
      <c r="B34" s="94"/>
      <c r="C34" s="95"/>
      <c r="D34" s="93">
        <v>13.4</v>
      </c>
      <c r="E34" s="78"/>
      <c r="F34" s="28"/>
      <c r="G34" s="28"/>
      <c r="H34" s="54"/>
      <c r="I34" s="28"/>
      <c r="J34" s="28"/>
      <c r="K34" s="28" t="s">
        <v>24</v>
      </c>
      <c r="L34" s="28"/>
      <c r="M34" s="28"/>
      <c r="N34" s="28"/>
      <c r="O34" s="28"/>
      <c r="P34" s="28"/>
      <c r="Q34" s="28"/>
      <c r="R34" s="28"/>
      <c r="S34" s="28"/>
      <c r="T34" s="29"/>
    </row>
    <row r="35" spans="1:20" ht="13.5" customHeight="1">
      <c r="A35" s="41"/>
      <c r="B35" s="94"/>
      <c r="C35" s="95"/>
      <c r="D35" s="93">
        <v>75</v>
      </c>
      <c r="E35" s="78"/>
      <c r="F35" s="28"/>
      <c r="G35" s="28"/>
      <c r="H35" s="54"/>
      <c r="I35" s="28"/>
      <c r="J35" s="28"/>
      <c r="K35" s="28"/>
      <c r="L35" s="28" t="s">
        <v>24</v>
      </c>
      <c r="M35" s="28"/>
      <c r="N35" s="28"/>
      <c r="O35" s="28"/>
      <c r="P35" s="28"/>
      <c r="Q35" s="28"/>
      <c r="R35" s="28"/>
      <c r="S35" s="28"/>
      <c r="T35" s="29"/>
    </row>
    <row r="36" spans="1:20" ht="13.5" customHeight="1">
      <c r="A36" s="41"/>
      <c r="B36" s="94"/>
      <c r="C36" s="95"/>
      <c r="D36" s="93">
        <v>100</v>
      </c>
      <c r="E36" s="78"/>
      <c r="F36" s="28"/>
      <c r="G36" s="28"/>
      <c r="H36" s="54"/>
      <c r="I36" s="28"/>
      <c r="J36" s="28"/>
      <c r="K36" s="28"/>
      <c r="L36" s="28"/>
      <c r="M36" s="28" t="s">
        <v>24</v>
      </c>
      <c r="N36" s="28"/>
      <c r="O36" s="28"/>
      <c r="P36" s="28"/>
      <c r="Q36" s="28"/>
      <c r="R36" s="28"/>
      <c r="S36" s="28"/>
      <c r="T36" s="29"/>
    </row>
    <row r="37" spans="1:20" ht="13.5" customHeight="1">
      <c r="A37" s="41"/>
      <c r="B37" s="94"/>
      <c r="C37" s="95"/>
      <c r="D37" s="93">
        <v>3.35</v>
      </c>
      <c r="E37" s="78"/>
      <c r="F37" s="28"/>
      <c r="G37" s="28"/>
      <c r="H37" s="54"/>
      <c r="I37" s="28"/>
      <c r="J37" s="28"/>
      <c r="K37" s="28"/>
      <c r="L37" s="28"/>
      <c r="M37" s="28"/>
      <c r="N37" s="28" t="s">
        <v>24</v>
      </c>
      <c r="O37" s="28"/>
      <c r="P37" s="28"/>
      <c r="Q37" s="28"/>
      <c r="R37" s="28"/>
      <c r="S37" s="28"/>
      <c r="T37" s="29"/>
    </row>
    <row r="38" spans="1:20" ht="13.5" customHeight="1">
      <c r="A38" s="41"/>
      <c r="B38" s="94"/>
      <c r="C38" s="95"/>
      <c r="D38" s="93">
        <v>6.7</v>
      </c>
      <c r="E38" s="78"/>
      <c r="F38" s="28"/>
      <c r="G38" s="28"/>
      <c r="H38" s="54"/>
      <c r="I38" s="28"/>
      <c r="J38" s="28"/>
      <c r="K38" s="28"/>
      <c r="L38" s="28"/>
      <c r="M38" s="28"/>
      <c r="N38" s="28"/>
      <c r="O38" s="28" t="s">
        <v>24</v>
      </c>
      <c r="P38" s="28"/>
      <c r="Q38" s="28"/>
      <c r="R38" s="28"/>
      <c r="S38" s="28"/>
      <c r="T38" s="29"/>
    </row>
    <row r="39" spans="1:20" ht="13.5" customHeight="1">
      <c r="A39" s="41"/>
      <c r="B39" s="94"/>
      <c r="C39" s="95"/>
      <c r="D39" s="93">
        <v>5</v>
      </c>
      <c r="E39" s="78"/>
      <c r="F39" s="28"/>
      <c r="G39" s="28"/>
      <c r="H39" s="54"/>
      <c r="I39" s="28"/>
      <c r="J39" s="28"/>
      <c r="K39" s="28"/>
      <c r="L39" s="28"/>
      <c r="M39" s="28"/>
      <c r="N39" s="28"/>
      <c r="O39" s="28"/>
      <c r="P39" s="28" t="s">
        <v>24</v>
      </c>
      <c r="Q39" s="28"/>
      <c r="R39" s="28"/>
      <c r="S39" s="28"/>
      <c r="T39" s="29"/>
    </row>
    <row r="40" spans="1:20" ht="13.5" customHeight="1">
      <c r="A40" s="41"/>
      <c r="B40" s="94"/>
      <c r="C40" s="95"/>
      <c r="D40" s="93">
        <v>10</v>
      </c>
      <c r="E40" s="78"/>
      <c r="F40" s="28"/>
      <c r="G40" s="28"/>
      <c r="H40" s="54"/>
      <c r="I40" s="28"/>
      <c r="J40" s="28"/>
      <c r="K40" s="28"/>
      <c r="L40" s="28"/>
      <c r="M40" s="28"/>
      <c r="N40" s="28"/>
      <c r="O40" s="28"/>
      <c r="P40" s="28"/>
      <c r="Q40" s="28" t="s">
        <v>24</v>
      </c>
      <c r="R40" s="28"/>
      <c r="S40" s="28"/>
      <c r="T40" s="29"/>
    </row>
    <row r="41" spans="1:20" ht="13.5" customHeight="1">
      <c r="A41" s="41"/>
      <c r="B41" s="94"/>
      <c r="C41" s="95"/>
      <c r="D41" s="93"/>
      <c r="E41" s="78"/>
      <c r="F41" s="28"/>
      <c r="G41" s="28"/>
      <c r="H41" s="28"/>
      <c r="I41" s="28"/>
      <c r="J41" s="28"/>
      <c r="K41" s="28"/>
      <c r="L41" s="28"/>
      <c r="M41" s="28"/>
      <c r="N41" s="28"/>
      <c r="O41" s="28"/>
      <c r="P41" s="28"/>
      <c r="Q41" s="28"/>
      <c r="R41" s="28"/>
      <c r="S41" s="28"/>
      <c r="T41" s="29"/>
    </row>
    <row r="42" spans="1:20" ht="13.5" customHeight="1">
      <c r="A42" s="41"/>
      <c r="B42" s="42" t="s">
        <v>28</v>
      </c>
      <c r="C42" s="43"/>
      <c r="D42" s="44"/>
      <c r="E42" s="78"/>
      <c r="F42" s="28"/>
      <c r="G42" s="28"/>
      <c r="H42" s="28"/>
      <c r="I42" s="28"/>
      <c r="J42" s="28"/>
      <c r="K42" s="28"/>
      <c r="L42" s="28"/>
      <c r="M42" s="28"/>
      <c r="N42" s="28"/>
      <c r="O42" s="28"/>
      <c r="P42" s="28"/>
      <c r="Q42" s="28"/>
      <c r="R42" s="28"/>
      <c r="S42" s="28"/>
      <c r="T42" s="29"/>
    </row>
    <row r="43" spans="1:20" ht="13.5" customHeight="1">
      <c r="A43" s="41"/>
      <c r="B43" s="42"/>
      <c r="C43" s="43"/>
      <c r="D43" s="93" t="s">
        <v>80</v>
      </c>
      <c r="E43" s="78"/>
      <c r="F43" s="28" t="s">
        <v>24</v>
      </c>
      <c r="G43" s="28" t="s">
        <v>24</v>
      </c>
      <c r="H43" s="28"/>
      <c r="I43" s="28"/>
      <c r="J43" s="28"/>
      <c r="K43" s="28"/>
      <c r="L43" s="28"/>
      <c r="M43" s="28"/>
      <c r="N43" s="28"/>
      <c r="O43" s="28"/>
      <c r="P43" s="28"/>
      <c r="Q43" s="28"/>
      <c r="R43" s="28"/>
      <c r="S43" s="28"/>
      <c r="T43" s="29"/>
    </row>
    <row r="44" spans="1:20" ht="13.5" customHeight="1">
      <c r="A44" s="41"/>
      <c r="B44" s="42" t="s">
        <v>29</v>
      </c>
      <c r="C44" s="43"/>
      <c r="D44" s="44"/>
      <c r="E44" s="78"/>
      <c r="F44" s="28"/>
      <c r="G44" s="28"/>
      <c r="H44" s="28"/>
      <c r="I44" s="28"/>
      <c r="J44" s="28"/>
      <c r="K44" s="28"/>
      <c r="L44" s="28"/>
      <c r="M44" s="28"/>
      <c r="N44" s="28"/>
      <c r="O44" s="28"/>
      <c r="P44" s="28"/>
      <c r="Q44" s="28"/>
      <c r="R44" s="28"/>
      <c r="S44" s="28"/>
      <c r="T44" s="29"/>
    </row>
    <row r="45" spans="1:20" ht="13.5" customHeight="1">
      <c r="A45" s="41"/>
      <c r="B45" s="94"/>
      <c r="C45" s="95"/>
      <c r="D45" s="93" t="s">
        <v>79</v>
      </c>
      <c r="E45" s="78"/>
      <c r="F45" s="28" t="s">
        <v>24</v>
      </c>
      <c r="G45" s="28" t="s">
        <v>24</v>
      </c>
      <c r="H45" s="28"/>
      <c r="I45" s="28"/>
      <c r="J45" s="28"/>
      <c r="K45" s="28"/>
      <c r="L45" s="28"/>
      <c r="M45" s="28"/>
      <c r="N45" s="28"/>
      <c r="O45" s="28"/>
      <c r="P45" s="28"/>
      <c r="Q45" s="28"/>
      <c r="R45" s="28"/>
      <c r="S45" s="28"/>
      <c r="T45" s="29"/>
    </row>
    <row r="46" spans="1:20" ht="13.5" customHeight="1" thickBot="1">
      <c r="A46" s="45"/>
      <c r="B46" s="96"/>
      <c r="C46" s="97"/>
      <c r="D46" s="98"/>
      <c r="E46" s="79"/>
      <c r="F46" s="46"/>
      <c r="G46" s="46"/>
      <c r="H46" s="46"/>
      <c r="I46" s="46"/>
      <c r="J46" s="46"/>
      <c r="K46" s="46"/>
      <c r="L46" s="46"/>
      <c r="M46" s="46"/>
      <c r="N46" s="46"/>
      <c r="O46" s="46"/>
      <c r="P46" s="46"/>
      <c r="Q46" s="46"/>
      <c r="R46" s="46"/>
      <c r="S46" s="46"/>
      <c r="T46" s="47"/>
    </row>
    <row r="47" spans="1:20" ht="13.5" customHeight="1">
      <c r="A47" s="41" t="s">
        <v>30</v>
      </c>
      <c r="B47" s="144" t="s">
        <v>31</v>
      </c>
      <c r="C47" s="145"/>
      <c r="D47" s="145"/>
      <c r="E47" s="48"/>
      <c r="F47" s="49" t="s">
        <v>81</v>
      </c>
      <c r="G47" s="49" t="s">
        <v>81</v>
      </c>
      <c r="H47" s="49" t="s">
        <v>32</v>
      </c>
      <c r="I47" s="49" t="s">
        <v>32</v>
      </c>
      <c r="J47" s="49" t="s">
        <v>32</v>
      </c>
      <c r="K47" s="49" t="s">
        <v>32</v>
      </c>
      <c r="L47" s="49" t="s">
        <v>32</v>
      </c>
      <c r="M47" s="49" t="s">
        <v>32</v>
      </c>
      <c r="N47" s="49" t="s">
        <v>32</v>
      </c>
      <c r="O47" s="49" t="s">
        <v>32</v>
      </c>
      <c r="P47" s="49" t="s">
        <v>32</v>
      </c>
      <c r="Q47" s="49" t="s">
        <v>32</v>
      </c>
      <c r="R47" s="49"/>
      <c r="S47" s="49"/>
      <c r="T47" s="50"/>
    </row>
    <row r="48" spans="1:20" ht="13.5" customHeight="1">
      <c r="A48" s="41"/>
      <c r="B48" s="146" t="s">
        <v>33</v>
      </c>
      <c r="C48" s="147"/>
      <c r="D48" s="147"/>
      <c r="E48" s="51"/>
      <c r="F48" s="52" t="s">
        <v>85</v>
      </c>
      <c r="G48" s="52" t="s">
        <v>85</v>
      </c>
      <c r="H48" s="52" t="s">
        <v>85</v>
      </c>
      <c r="I48" s="52" t="s">
        <v>85</v>
      </c>
      <c r="J48" s="52" t="s">
        <v>85</v>
      </c>
      <c r="K48" s="52" t="s">
        <v>85</v>
      </c>
      <c r="L48" s="52" t="s">
        <v>85</v>
      </c>
      <c r="M48" s="52" t="s">
        <v>85</v>
      </c>
      <c r="N48" s="52" t="s">
        <v>85</v>
      </c>
      <c r="O48" s="52" t="s">
        <v>85</v>
      </c>
      <c r="P48" s="52" t="s">
        <v>85</v>
      </c>
      <c r="Q48" s="52" t="s">
        <v>85</v>
      </c>
      <c r="R48" s="52"/>
      <c r="S48" s="52"/>
      <c r="T48" s="53"/>
    </row>
    <row r="49" spans="1:20" ht="13.5" customHeight="1">
      <c r="A49" s="41"/>
      <c r="B49" s="148" t="s">
        <v>34</v>
      </c>
      <c r="C49" s="149"/>
      <c r="D49" s="149"/>
      <c r="E49" s="54"/>
      <c r="F49" s="55"/>
      <c r="G49" s="55"/>
      <c r="H49" s="55"/>
      <c r="I49" s="55"/>
      <c r="J49" s="55"/>
      <c r="K49" s="55"/>
      <c r="L49" s="55"/>
      <c r="M49" s="55"/>
      <c r="N49" s="55"/>
      <c r="O49" s="55"/>
      <c r="P49" s="55"/>
      <c r="Q49" s="55"/>
      <c r="R49" s="55"/>
      <c r="S49" s="55"/>
      <c r="T49" s="56"/>
    </row>
    <row r="50" spans="1:20" ht="11.25" thickBot="1">
      <c r="A50" s="45"/>
      <c r="B50" s="150" t="s">
        <v>35</v>
      </c>
      <c r="C50" s="151"/>
      <c r="D50" s="151"/>
      <c r="E50" s="57"/>
      <c r="F50" s="58"/>
      <c r="G50" s="58"/>
      <c r="H50" s="58"/>
      <c r="I50" s="58"/>
      <c r="J50" s="58"/>
      <c r="K50" s="58"/>
      <c r="L50" s="58"/>
      <c r="M50" s="58"/>
      <c r="N50" s="58"/>
      <c r="O50" s="58"/>
      <c r="P50" s="58"/>
      <c r="Q50" s="58"/>
      <c r="R50" s="58"/>
      <c r="S50" s="58"/>
      <c r="T50" s="59"/>
    </row>
    <row r="51" spans="1:20">
      <c r="A51" s="60"/>
    </row>
    <row r="54" spans="1:20">
      <c r="A54" s="2" t="s">
        <v>4</v>
      </c>
      <c r="B54" s="3" t="s">
        <v>5</v>
      </c>
    </row>
    <row r="55" spans="1:20">
      <c r="B55" s="61" t="s">
        <v>36</v>
      </c>
      <c r="C55" s="62"/>
    </row>
  </sheetData>
  <mergeCells count="34">
    <mergeCell ref="B47:D47"/>
    <mergeCell ref="B48:D48"/>
    <mergeCell ref="B49:D49"/>
    <mergeCell ref="B50:D50"/>
    <mergeCell ref="A8:D8"/>
    <mergeCell ref="D18:E18"/>
    <mergeCell ref="D19:E19"/>
    <mergeCell ref="D20:E20"/>
    <mergeCell ref="D22:E22"/>
    <mergeCell ref="D23:E23"/>
    <mergeCell ref="D24:E24"/>
    <mergeCell ref="A6:B6"/>
    <mergeCell ref="C6:E6"/>
    <mergeCell ref="F6:K6"/>
    <mergeCell ref="O6:T6"/>
    <mergeCell ref="A3:B3"/>
    <mergeCell ref="C3:D3"/>
    <mergeCell ref="F3:K3"/>
    <mergeCell ref="L3:T3"/>
    <mergeCell ref="A4:B4"/>
    <mergeCell ref="C4:T4"/>
    <mergeCell ref="A5:B5"/>
    <mergeCell ref="C5:E5"/>
    <mergeCell ref="F5:K5"/>
    <mergeCell ref="L5:N5"/>
    <mergeCell ref="O5:T5"/>
    <mergeCell ref="A1:B1"/>
    <mergeCell ref="C1:E1"/>
    <mergeCell ref="F1:K1"/>
    <mergeCell ref="L1:T1"/>
    <mergeCell ref="A2:B2"/>
    <mergeCell ref="C2:E2"/>
    <mergeCell ref="F2:K2"/>
    <mergeCell ref="L2:N2"/>
  </mergeCells>
  <dataValidations count="3">
    <dataValidation type="list" allowBlank="1" showInputMessage="1" showErrorMessage="1" sqref="WVN983087:WWB983087 JB47:JP47 SX47:TL47 ACT47:ADH47 AMP47:AND47 AWL47:AWZ47 BGH47:BGV47 BQD47:BQR47 BZZ47:CAN47 CJV47:CKJ47 CTR47:CUF47 DDN47:DEB47 DNJ47:DNX47 DXF47:DXT47 EHB47:EHP47 EQX47:ERL47 FAT47:FBH47 FKP47:FLD47 FUL47:FUZ47 GEH47:GEV47 GOD47:GOR47 GXZ47:GYN47 HHV47:HIJ47 HRR47:HSF47 IBN47:ICB47 ILJ47:ILX47 IVF47:IVT47 JFB47:JFP47 JOX47:JPL47 JYT47:JZH47 KIP47:KJD47 KSL47:KSZ47 LCH47:LCV47 LMD47:LMR47 LVZ47:LWN47 MFV47:MGJ47 MPR47:MQF47 MZN47:NAB47 NJJ47:NJX47 NTF47:NTT47 ODB47:ODP47 OMX47:ONL47 OWT47:OXH47 PGP47:PHD47 PQL47:PQZ47 QAH47:QAV47 QKD47:QKR47 QTZ47:QUN47 RDV47:REJ47 RNR47:ROF47 RXN47:RYB47 SHJ47:SHX47 SRF47:SRT47 TBB47:TBP47 TKX47:TLL47 TUT47:TVH47 UEP47:UFD47 UOL47:UOZ47 UYH47:UYV47 VID47:VIR47 VRZ47:VSN47 WBV47:WCJ47 WLR47:WMF47 WVN47:WWB47 F65583:T65583 JB65583:JP65583 SX65583:TL65583 ACT65583:ADH65583 AMP65583:AND65583 AWL65583:AWZ65583 BGH65583:BGV65583 BQD65583:BQR65583 BZZ65583:CAN65583 CJV65583:CKJ65583 CTR65583:CUF65583 DDN65583:DEB65583 DNJ65583:DNX65583 DXF65583:DXT65583 EHB65583:EHP65583 EQX65583:ERL65583 FAT65583:FBH65583 FKP65583:FLD65583 FUL65583:FUZ65583 GEH65583:GEV65583 GOD65583:GOR65583 GXZ65583:GYN65583 HHV65583:HIJ65583 HRR65583:HSF65583 IBN65583:ICB65583 ILJ65583:ILX65583 IVF65583:IVT65583 JFB65583:JFP65583 JOX65583:JPL65583 JYT65583:JZH65583 KIP65583:KJD65583 KSL65583:KSZ65583 LCH65583:LCV65583 LMD65583:LMR65583 LVZ65583:LWN65583 MFV65583:MGJ65583 MPR65583:MQF65583 MZN65583:NAB65583 NJJ65583:NJX65583 NTF65583:NTT65583 ODB65583:ODP65583 OMX65583:ONL65583 OWT65583:OXH65583 PGP65583:PHD65583 PQL65583:PQZ65583 QAH65583:QAV65583 QKD65583:QKR65583 QTZ65583:QUN65583 RDV65583:REJ65583 RNR65583:ROF65583 RXN65583:RYB65583 SHJ65583:SHX65583 SRF65583:SRT65583 TBB65583:TBP65583 TKX65583:TLL65583 TUT65583:TVH65583 UEP65583:UFD65583 UOL65583:UOZ65583 UYH65583:UYV65583 VID65583:VIR65583 VRZ65583:VSN65583 WBV65583:WCJ65583 WLR65583:WMF65583 WVN65583:WWB65583 F131119:T131119 JB131119:JP131119 SX131119:TL131119 ACT131119:ADH131119 AMP131119:AND131119 AWL131119:AWZ131119 BGH131119:BGV131119 BQD131119:BQR131119 BZZ131119:CAN131119 CJV131119:CKJ131119 CTR131119:CUF131119 DDN131119:DEB131119 DNJ131119:DNX131119 DXF131119:DXT131119 EHB131119:EHP131119 EQX131119:ERL131119 FAT131119:FBH131119 FKP131119:FLD131119 FUL131119:FUZ131119 GEH131119:GEV131119 GOD131119:GOR131119 GXZ131119:GYN131119 HHV131119:HIJ131119 HRR131119:HSF131119 IBN131119:ICB131119 ILJ131119:ILX131119 IVF131119:IVT131119 JFB131119:JFP131119 JOX131119:JPL131119 JYT131119:JZH131119 KIP131119:KJD131119 KSL131119:KSZ131119 LCH131119:LCV131119 LMD131119:LMR131119 LVZ131119:LWN131119 MFV131119:MGJ131119 MPR131119:MQF131119 MZN131119:NAB131119 NJJ131119:NJX131119 NTF131119:NTT131119 ODB131119:ODP131119 OMX131119:ONL131119 OWT131119:OXH131119 PGP131119:PHD131119 PQL131119:PQZ131119 QAH131119:QAV131119 QKD131119:QKR131119 QTZ131119:QUN131119 RDV131119:REJ131119 RNR131119:ROF131119 RXN131119:RYB131119 SHJ131119:SHX131119 SRF131119:SRT131119 TBB131119:TBP131119 TKX131119:TLL131119 TUT131119:TVH131119 UEP131119:UFD131119 UOL131119:UOZ131119 UYH131119:UYV131119 VID131119:VIR131119 VRZ131119:VSN131119 WBV131119:WCJ131119 WLR131119:WMF131119 WVN131119:WWB131119 F196655:T196655 JB196655:JP196655 SX196655:TL196655 ACT196655:ADH196655 AMP196655:AND196655 AWL196655:AWZ196655 BGH196655:BGV196655 BQD196655:BQR196655 BZZ196655:CAN196655 CJV196655:CKJ196655 CTR196655:CUF196655 DDN196655:DEB196655 DNJ196655:DNX196655 DXF196655:DXT196655 EHB196655:EHP196655 EQX196655:ERL196655 FAT196655:FBH196655 FKP196655:FLD196655 FUL196655:FUZ196655 GEH196655:GEV196655 GOD196655:GOR196655 GXZ196655:GYN196655 HHV196655:HIJ196655 HRR196655:HSF196655 IBN196655:ICB196655 ILJ196655:ILX196655 IVF196655:IVT196655 JFB196655:JFP196655 JOX196655:JPL196655 JYT196655:JZH196655 KIP196655:KJD196655 KSL196655:KSZ196655 LCH196655:LCV196655 LMD196655:LMR196655 LVZ196655:LWN196655 MFV196655:MGJ196655 MPR196655:MQF196655 MZN196655:NAB196655 NJJ196655:NJX196655 NTF196655:NTT196655 ODB196655:ODP196655 OMX196655:ONL196655 OWT196655:OXH196655 PGP196655:PHD196655 PQL196655:PQZ196655 QAH196655:QAV196655 QKD196655:QKR196655 QTZ196655:QUN196655 RDV196655:REJ196655 RNR196655:ROF196655 RXN196655:RYB196655 SHJ196655:SHX196655 SRF196655:SRT196655 TBB196655:TBP196655 TKX196655:TLL196655 TUT196655:TVH196655 UEP196655:UFD196655 UOL196655:UOZ196655 UYH196655:UYV196655 VID196655:VIR196655 VRZ196655:VSN196655 WBV196655:WCJ196655 WLR196655:WMF196655 WVN196655:WWB196655 F262191:T262191 JB262191:JP262191 SX262191:TL262191 ACT262191:ADH262191 AMP262191:AND262191 AWL262191:AWZ262191 BGH262191:BGV262191 BQD262191:BQR262191 BZZ262191:CAN262191 CJV262191:CKJ262191 CTR262191:CUF262191 DDN262191:DEB262191 DNJ262191:DNX262191 DXF262191:DXT262191 EHB262191:EHP262191 EQX262191:ERL262191 FAT262191:FBH262191 FKP262191:FLD262191 FUL262191:FUZ262191 GEH262191:GEV262191 GOD262191:GOR262191 GXZ262191:GYN262191 HHV262191:HIJ262191 HRR262191:HSF262191 IBN262191:ICB262191 ILJ262191:ILX262191 IVF262191:IVT262191 JFB262191:JFP262191 JOX262191:JPL262191 JYT262191:JZH262191 KIP262191:KJD262191 KSL262191:KSZ262191 LCH262191:LCV262191 LMD262191:LMR262191 LVZ262191:LWN262191 MFV262191:MGJ262191 MPR262191:MQF262191 MZN262191:NAB262191 NJJ262191:NJX262191 NTF262191:NTT262191 ODB262191:ODP262191 OMX262191:ONL262191 OWT262191:OXH262191 PGP262191:PHD262191 PQL262191:PQZ262191 QAH262191:QAV262191 QKD262191:QKR262191 QTZ262191:QUN262191 RDV262191:REJ262191 RNR262191:ROF262191 RXN262191:RYB262191 SHJ262191:SHX262191 SRF262191:SRT262191 TBB262191:TBP262191 TKX262191:TLL262191 TUT262191:TVH262191 UEP262191:UFD262191 UOL262191:UOZ262191 UYH262191:UYV262191 VID262191:VIR262191 VRZ262191:VSN262191 WBV262191:WCJ262191 WLR262191:WMF262191 WVN262191:WWB262191 F327727:T327727 JB327727:JP327727 SX327727:TL327727 ACT327727:ADH327727 AMP327727:AND327727 AWL327727:AWZ327727 BGH327727:BGV327727 BQD327727:BQR327727 BZZ327727:CAN327727 CJV327727:CKJ327727 CTR327727:CUF327727 DDN327727:DEB327727 DNJ327727:DNX327727 DXF327727:DXT327727 EHB327727:EHP327727 EQX327727:ERL327727 FAT327727:FBH327727 FKP327727:FLD327727 FUL327727:FUZ327727 GEH327727:GEV327727 GOD327727:GOR327727 GXZ327727:GYN327727 HHV327727:HIJ327727 HRR327727:HSF327727 IBN327727:ICB327727 ILJ327727:ILX327727 IVF327727:IVT327727 JFB327727:JFP327727 JOX327727:JPL327727 JYT327727:JZH327727 KIP327727:KJD327727 KSL327727:KSZ327727 LCH327727:LCV327727 LMD327727:LMR327727 LVZ327727:LWN327727 MFV327727:MGJ327727 MPR327727:MQF327727 MZN327727:NAB327727 NJJ327727:NJX327727 NTF327727:NTT327727 ODB327727:ODP327727 OMX327727:ONL327727 OWT327727:OXH327727 PGP327727:PHD327727 PQL327727:PQZ327727 QAH327727:QAV327727 QKD327727:QKR327727 QTZ327727:QUN327727 RDV327727:REJ327727 RNR327727:ROF327727 RXN327727:RYB327727 SHJ327727:SHX327727 SRF327727:SRT327727 TBB327727:TBP327727 TKX327727:TLL327727 TUT327727:TVH327727 UEP327727:UFD327727 UOL327727:UOZ327727 UYH327727:UYV327727 VID327727:VIR327727 VRZ327727:VSN327727 WBV327727:WCJ327727 WLR327727:WMF327727 WVN327727:WWB327727 F393263:T393263 JB393263:JP393263 SX393263:TL393263 ACT393263:ADH393263 AMP393263:AND393263 AWL393263:AWZ393263 BGH393263:BGV393263 BQD393263:BQR393263 BZZ393263:CAN393263 CJV393263:CKJ393263 CTR393263:CUF393263 DDN393263:DEB393263 DNJ393263:DNX393263 DXF393263:DXT393263 EHB393263:EHP393263 EQX393263:ERL393263 FAT393263:FBH393263 FKP393263:FLD393263 FUL393263:FUZ393263 GEH393263:GEV393263 GOD393263:GOR393263 GXZ393263:GYN393263 HHV393263:HIJ393263 HRR393263:HSF393263 IBN393263:ICB393263 ILJ393263:ILX393263 IVF393263:IVT393263 JFB393263:JFP393263 JOX393263:JPL393263 JYT393263:JZH393263 KIP393263:KJD393263 KSL393263:KSZ393263 LCH393263:LCV393263 LMD393263:LMR393263 LVZ393263:LWN393263 MFV393263:MGJ393263 MPR393263:MQF393263 MZN393263:NAB393263 NJJ393263:NJX393263 NTF393263:NTT393263 ODB393263:ODP393263 OMX393263:ONL393263 OWT393263:OXH393263 PGP393263:PHD393263 PQL393263:PQZ393263 QAH393263:QAV393263 QKD393263:QKR393263 QTZ393263:QUN393263 RDV393263:REJ393263 RNR393263:ROF393263 RXN393263:RYB393263 SHJ393263:SHX393263 SRF393263:SRT393263 TBB393263:TBP393263 TKX393263:TLL393263 TUT393263:TVH393263 UEP393263:UFD393263 UOL393263:UOZ393263 UYH393263:UYV393263 VID393263:VIR393263 VRZ393263:VSN393263 WBV393263:WCJ393263 WLR393263:WMF393263 WVN393263:WWB393263 F458799:T458799 JB458799:JP458799 SX458799:TL458799 ACT458799:ADH458799 AMP458799:AND458799 AWL458799:AWZ458799 BGH458799:BGV458799 BQD458799:BQR458799 BZZ458799:CAN458799 CJV458799:CKJ458799 CTR458799:CUF458799 DDN458799:DEB458799 DNJ458799:DNX458799 DXF458799:DXT458799 EHB458799:EHP458799 EQX458799:ERL458799 FAT458799:FBH458799 FKP458799:FLD458799 FUL458799:FUZ458799 GEH458799:GEV458799 GOD458799:GOR458799 GXZ458799:GYN458799 HHV458799:HIJ458799 HRR458799:HSF458799 IBN458799:ICB458799 ILJ458799:ILX458799 IVF458799:IVT458799 JFB458799:JFP458799 JOX458799:JPL458799 JYT458799:JZH458799 KIP458799:KJD458799 KSL458799:KSZ458799 LCH458799:LCV458799 LMD458799:LMR458799 LVZ458799:LWN458799 MFV458799:MGJ458799 MPR458799:MQF458799 MZN458799:NAB458799 NJJ458799:NJX458799 NTF458799:NTT458799 ODB458799:ODP458799 OMX458799:ONL458799 OWT458799:OXH458799 PGP458799:PHD458799 PQL458799:PQZ458799 QAH458799:QAV458799 QKD458799:QKR458799 QTZ458799:QUN458799 RDV458799:REJ458799 RNR458799:ROF458799 RXN458799:RYB458799 SHJ458799:SHX458799 SRF458799:SRT458799 TBB458799:TBP458799 TKX458799:TLL458799 TUT458799:TVH458799 UEP458799:UFD458799 UOL458799:UOZ458799 UYH458799:UYV458799 VID458799:VIR458799 VRZ458799:VSN458799 WBV458799:WCJ458799 WLR458799:WMF458799 WVN458799:WWB458799 F524335:T524335 JB524335:JP524335 SX524335:TL524335 ACT524335:ADH524335 AMP524335:AND524335 AWL524335:AWZ524335 BGH524335:BGV524335 BQD524335:BQR524335 BZZ524335:CAN524335 CJV524335:CKJ524335 CTR524335:CUF524335 DDN524335:DEB524335 DNJ524335:DNX524335 DXF524335:DXT524335 EHB524335:EHP524335 EQX524335:ERL524335 FAT524335:FBH524335 FKP524335:FLD524335 FUL524335:FUZ524335 GEH524335:GEV524335 GOD524335:GOR524335 GXZ524335:GYN524335 HHV524335:HIJ524335 HRR524335:HSF524335 IBN524335:ICB524335 ILJ524335:ILX524335 IVF524335:IVT524335 JFB524335:JFP524335 JOX524335:JPL524335 JYT524335:JZH524335 KIP524335:KJD524335 KSL524335:KSZ524335 LCH524335:LCV524335 LMD524335:LMR524335 LVZ524335:LWN524335 MFV524335:MGJ524335 MPR524335:MQF524335 MZN524335:NAB524335 NJJ524335:NJX524335 NTF524335:NTT524335 ODB524335:ODP524335 OMX524335:ONL524335 OWT524335:OXH524335 PGP524335:PHD524335 PQL524335:PQZ524335 QAH524335:QAV524335 QKD524335:QKR524335 QTZ524335:QUN524335 RDV524335:REJ524335 RNR524335:ROF524335 RXN524335:RYB524335 SHJ524335:SHX524335 SRF524335:SRT524335 TBB524335:TBP524335 TKX524335:TLL524335 TUT524335:TVH524335 UEP524335:UFD524335 UOL524335:UOZ524335 UYH524335:UYV524335 VID524335:VIR524335 VRZ524335:VSN524335 WBV524335:WCJ524335 WLR524335:WMF524335 WVN524335:WWB524335 F589871:T589871 JB589871:JP589871 SX589871:TL589871 ACT589871:ADH589871 AMP589871:AND589871 AWL589871:AWZ589871 BGH589871:BGV589871 BQD589871:BQR589871 BZZ589871:CAN589871 CJV589871:CKJ589871 CTR589871:CUF589871 DDN589871:DEB589871 DNJ589871:DNX589871 DXF589871:DXT589871 EHB589871:EHP589871 EQX589871:ERL589871 FAT589871:FBH589871 FKP589871:FLD589871 FUL589871:FUZ589871 GEH589871:GEV589871 GOD589871:GOR589871 GXZ589871:GYN589871 HHV589871:HIJ589871 HRR589871:HSF589871 IBN589871:ICB589871 ILJ589871:ILX589871 IVF589871:IVT589871 JFB589871:JFP589871 JOX589871:JPL589871 JYT589871:JZH589871 KIP589871:KJD589871 KSL589871:KSZ589871 LCH589871:LCV589871 LMD589871:LMR589871 LVZ589871:LWN589871 MFV589871:MGJ589871 MPR589871:MQF589871 MZN589871:NAB589871 NJJ589871:NJX589871 NTF589871:NTT589871 ODB589871:ODP589871 OMX589871:ONL589871 OWT589871:OXH589871 PGP589871:PHD589871 PQL589871:PQZ589871 QAH589871:QAV589871 QKD589871:QKR589871 QTZ589871:QUN589871 RDV589871:REJ589871 RNR589871:ROF589871 RXN589871:RYB589871 SHJ589871:SHX589871 SRF589871:SRT589871 TBB589871:TBP589871 TKX589871:TLL589871 TUT589871:TVH589871 UEP589871:UFD589871 UOL589871:UOZ589871 UYH589871:UYV589871 VID589871:VIR589871 VRZ589871:VSN589871 WBV589871:WCJ589871 WLR589871:WMF589871 WVN589871:WWB589871 F655407:T655407 JB655407:JP655407 SX655407:TL655407 ACT655407:ADH655407 AMP655407:AND655407 AWL655407:AWZ655407 BGH655407:BGV655407 BQD655407:BQR655407 BZZ655407:CAN655407 CJV655407:CKJ655407 CTR655407:CUF655407 DDN655407:DEB655407 DNJ655407:DNX655407 DXF655407:DXT655407 EHB655407:EHP655407 EQX655407:ERL655407 FAT655407:FBH655407 FKP655407:FLD655407 FUL655407:FUZ655407 GEH655407:GEV655407 GOD655407:GOR655407 GXZ655407:GYN655407 HHV655407:HIJ655407 HRR655407:HSF655407 IBN655407:ICB655407 ILJ655407:ILX655407 IVF655407:IVT655407 JFB655407:JFP655407 JOX655407:JPL655407 JYT655407:JZH655407 KIP655407:KJD655407 KSL655407:KSZ655407 LCH655407:LCV655407 LMD655407:LMR655407 LVZ655407:LWN655407 MFV655407:MGJ655407 MPR655407:MQF655407 MZN655407:NAB655407 NJJ655407:NJX655407 NTF655407:NTT655407 ODB655407:ODP655407 OMX655407:ONL655407 OWT655407:OXH655407 PGP655407:PHD655407 PQL655407:PQZ655407 QAH655407:QAV655407 QKD655407:QKR655407 QTZ655407:QUN655407 RDV655407:REJ655407 RNR655407:ROF655407 RXN655407:RYB655407 SHJ655407:SHX655407 SRF655407:SRT655407 TBB655407:TBP655407 TKX655407:TLL655407 TUT655407:TVH655407 UEP655407:UFD655407 UOL655407:UOZ655407 UYH655407:UYV655407 VID655407:VIR655407 VRZ655407:VSN655407 WBV655407:WCJ655407 WLR655407:WMF655407 WVN655407:WWB655407 F720943:T720943 JB720943:JP720943 SX720943:TL720943 ACT720943:ADH720943 AMP720943:AND720943 AWL720943:AWZ720943 BGH720943:BGV720943 BQD720943:BQR720943 BZZ720943:CAN720943 CJV720943:CKJ720943 CTR720943:CUF720943 DDN720943:DEB720943 DNJ720943:DNX720943 DXF720943:DXT720943 EHB720943:EHP720943 EQX720943:ERL720943 FAT720943:FBH720943 FKP720943:FLD720943 FUL720943:FUZ720943 GEH720943:GEV720943 GOD720943:GOR720943 GXZ720943:GYN720943 HHV720943:HIJ720943 HRR720943:HSF720943 IBN720943:ICB720943 ILJ720943:ILX720943 IVF720943:IVT720943 JFB720943:JFP720943 JOX720943:JPL720943 JYT720943:JZH720943 KIP720943:KJD720943 KSL720943:KSZ720943 LCH720943:LCV720943 LMD720943:LMR720943 LVZ720943:LWN720943 MFV720943:MGJ720943 MPR720943:MQF720943 MZN720943:NAB720943 NJJ720943:NJX720943 NTF720943:NTT720943 ODB720943:ODP720943 OMX720943:ONL720943 OWT720943:OXH720943 PGP720943:PHD720943 PQL720943:PQZ720943 QAH720943:QAV720943 QKD720943:QKR720943 QTZ720943:QUN720943 RDV720943:REJ720943 RNR720943:ROF720943 RXN720943:RYB720943 SHJ720943:SHX720943 SRF720943:SRT720943 TBB720943:TBP720943 TKX720943:TLL720943 TUT720943:TVH720943 UEP720943:UFD720943 UOL720943:UOZ720943 UYH720943:UYV720943 VID720943:VIR720943 VRZ720943:VSN720943 WBV720943:WCJ720943 WLR720943:WMF720943 WVN720943:WWB720943 F786479:T786479 JB786479:JP786479 SX786479:TL786479 ACT786479:ADH786479 AMP786479:AND786479 AWL786479:AWZ786479 BGH786479:BGV786479 BQD786479:BQR786479 BZZ786479:CAN786479 CJV786479:CKJ786479 CTR786479:CUF786479 DDN786479:DEB786479 DNJ786479:DNX786479 DXF786479:DXT786479 EHB786479:EHP786479 EQX786479:ERL786479 FAT786479:FBH786479 FKP786479:FLD786479 FUL786479:FUZ786479 GEH786479:GEV786479 GOD786479:GOR786479 GXZ786479:GYN786479 HHV786479:HIJ786479 HRR786479:HSF786479 IBN786479:ICB786479 ILJ786479:ILX786479 IVF786479:IVT786479 JFB786479:JFP786479 JOX786479:JPL786479 JYT786479:JZH786479 KIP786479:KJD786479 KSL786479:KSZ786479 LCH786479:LCV786479 LMD786479:LMR786479 LVZ786479:LWN786479 MFV786479:MGJ786479 MPR786479:MQF786479 MZN786479:NAB786479 NJJ786479:NJX786479 NTF786479:NTT786479 ODB786479:ODP786479 OMX786479:ONL786479 OWT786479:OXH786479 PGP786479:PHD786479 PQL786479:PQZ786479 QAH786479:QAV786479 QKD786479:QKR786479 QTZ786479:QUN786479 RDV786479:REJ786479 RNR786479:ROF786479 RXN786479:RYB786479 SHJ786479:SHX786479 SRF786479:SRT786479 TBB786479:TBP786479 TKX786479:TLL786479 TUT786479:TVH786479 UEP786479:UFD786479 UOL786479:UOZ786479 UYH786479:UYV786479 VID786479:VIR786479 VRZ786479:VSN786479 WBV786479:WCJ786479 WLR786479:WMF786479 WVN786479:WWB786479 F852015:T852015 JB852015:JP852015 SX852015:TL852015 ACT852015:ADH852015 AMP852015:AND852015 AWL852015:AWZ852015 BGH852015:BGV852015 BQD852015:BQR852015 BZZ852015:CAN852015 CJV852015:CKJ852015 CTR852015:CUF852015 DDN852015:DEB852015 DNJ852015:DNX852015 DXF852015:DXT852015 EHB852015:EHP852015 EQX852015:ERL852015 FAT852015:FBH852015 FKP852015:FLD852015 FUL852015:FUZ852015 GEH852015:GEV852015 GOD852015:GOR852015 GXZ852015:GYN852015 HHV852015:HIJ852015 HRR852015:HSF852015 IBN852015:ICB852015 ILJ852015:ILX852015 IVF852015:IVT852015 JFB852015:JFP852015 JOX852015:JPL852015 JYT852015:JZH852015 KIP852015:KJD852015 KSL852015:KSZ852015 LCH852015:LCV852015 LMD852015:LMR852015 LVZ852015:LWN852015 MFV852015:MGJ852015 MPR852015:MQF852015 MZN852015:NAB852015 NJJ852015:NJX852015 NTF852015:NTT852015 ODB852015:ODP852015 OMX852015:ONL852015 OWT852015:OXH852015 PGP852015:PHD852015 PQL852015:PQZ852015 QAH852015:QAV852015 QKD852015:QKR852015 QTZ852015:QUN852015 RDV852015:REJ852015 RNR852015:ROF852015 RXN852015:RYB852015 SHJ852015:SHX852015 SRF852015:SRT852015 TBB852015:TBP852015 TKX852015:TLL852015 TUT852015:TVH852015 UEP852015:UFD852015 UOL852015:UOZ852015 UYH852015:UYV852015 VID852015:VIR852015 VRZ852015:VSN852015 WBV852015:WCJ852015 WLR852015:WMF852015 WVN852015:WWB852015 F917551:T917551 JB917551:JP917551 SX917551:TL917551 ACT917551:ADH917551 AMP917551:AND917551 AWL917551:AWZ917551 BGH917551:BGV917551 BQD917551:BQR917551 BZZ917551:CAN917551 CJV917551:CKJ917551 CTR917551:CUF917551 DDN917551:DEB917551 DNJ917551:DNX917551 DXF917551:DXT917551 EHB917551:EHP917551 EQX917551:ERL917551 FAT917551:FBH917551 FKP917551:FLD917551 FUL917551:FUZ917551 GEH917551:GEV917551 GOD917551:GOR917551 GXZ917551:GYN917551 HHV917551:HIJ917551 HRR917551:HSF917551 IBN917551:ICB917551 ILJ917551:ILX917551 IVF917551:IVT917551 JFB917551:JFP917551 JOX917551:JPL917551 JYT917551:JZH917551 KIP917551:KJD917551 KSL917551:KSZ917551 LCH917551:LCV917551 LMD917551:LMR917551 LVZ917551:LWN917551 MFV917551:MGJ917551 MPR917551:MQF917551 MZN917551:NAB917551 NJJ917551:NJX917551 NTF917551:NTT917551 ODB917551:ODP917551 OMX917551:ONL917551 OWT917551:OXH917551 PGP917551:PHD917551 PQL917551:PQZ917551 QAH917551:QAV917551 QKD917551:QKR917551 QTZ917551:QUN917551 RDV917551:REJ917551 RNR917551:ROF917551 RXN917551:RYB917551 SHJ917551:SHX917551 SRF917551:SRT917551 TBB917551:TBP917551 TKX917551:TLL917551 TUT917551:TVH917551 UEP917551:UFD917551 UOL917551:UOZ917551 UYH917551:UYV917551 VID917551:VIR917551 VRZ917551:VSN917551 WBV917551:WCJ917551 WLR917551:WMF917551 WVN917551:WWB917551 F983087:T983087 JB983087:JP983087 SX983087:TL983087 ACT983087:ADH983087 AMP983087:AND983087 AWL983087:AWZ983087 BGH983087:BGV983087 BQD983087:BQR983087 BZZ983087:CAN983087 CJV983087:CKJ983087 CTR983087:CUF983087 DDN983087:DEB983087 DNJ983087:DNX983087 DXF983087:DXT983087 EHB983087:EHP983087 EQX983087:ERL983087 FAT983087:FBH983087 FKP983087:FLD983087 FUL983087:FUZ983087 GEH983087:GEV983087 GOD983087:GOR983087 GXZ983087:GYN983087 HHV983087:HIJ983087 HRR983087:HSF983087 IBN983087:ICB983087 ILJ983087:ILX983087 IVF983087:IVT983087 JFB983087:JFP983087 JOX983087:JPL983087 JYT983087:JZH983087 KIP983087:KJD983087 KSL983087:KSZ983087 LCH983087:LCV983087 LMD983087:LMR983087 LVZ983087:LWN983087 MFV983087:MGJ983087 MPR983087:MQF983087 MZN983087:NAB983087 NJJ983087:NJX983087 NTF983087:NTT983087 ODB983087:ODP983087 OMX983087:ONL983087 OWT983087:OXH983087 PGP983087:PHD983087 PQL983087:PQZ983087 QAH983087:QAV983087 QKD983087:QKR983087 QTZ983087:QUN983087 RDV983087:REJ983087 RNR983087:ROF983087 RXN983087:RYB983087 SHJ983087:SHX983087 SRF983087:SRT983087 TBB983087:TBP983087 TKX983087:TLL983087 TUT983087:TVH983087 UEP983087:UFD983087 UOL983087:UOZ983087 UYH983087:UYV983087 VID983087:VIR983087 VRZ983087:VSN983087 WBV983087:WCJ983087 WLR983087:WMF983087 F47:T47" xr:uid="{00000000-0002-0000-0100-000000000000}">
      <formula1>"N,A,B, "</formula1>
    </dataValidation>
    <dataValidation type="list" allowBlank="1" showInputMessage="1" showErrorMessage="1" sqref="WVN983088:WWB983088 JB48:JP48 SX48:TL48 ACT48:ADH48 AMP48:AND48 AWL48:AWZ48 BGH48:BGV48 BQD48:BQR48 BZZ48:CAN48 CJV48:CKJ48 CTR48:CUF48 DDN48:DEB48 DNJ48:DNX48 DXF48:DXT48 EHB48:EHP48 EQX48:ERL48 FAT48:FBH48 FKP48:FLD48 FUL48:FUZ48 GEH48:GEV48 GOD48:GOR48 GXZ48:GYN48 HHV48:HIJ48 HRR48:HSF48 IBN48:ICB48 ILJ48:ILX48 IVF48:IVT48 JFB48:JFP48 JOX48:JPL48 JYT48:JZH48 KIP48:KJD48 KSL48:KSZ48 LCH48:LCV48 LMD48:LMR48 LVZ48:LWN48 MFV48:MGJ48 MPR48:MQF48 MZN48:NAB48 NJJ48:NJX48 NTF48:NTT48 ODB48:ODP48 OMX48:ONL48 OWT48:OXH48 PGP48:PHD48 PQL48:PQZ48 QAH48:QAV48 QKD48:QKR48 QTZ48:QUN48 RDV48:REJ48 RNR48:ROF48 RXN48:RYB48 SHJ48:SHX48 SRF48:SRT48 TBB48:TBP48 TKX48:TLL48 TUT48:TVH48 UEP48:UFD48 UOL48:UOZ48 UYH48:UYV48 VID48:VIR48 VRZ48:VSN48 WBV48:WCJ48 WLR48:WMF48 WVN48:WWB48 F65584:T65584 JB65584:JP65584 SX65584:TL65584 ACT65584:ADH65584 AMP65584:AND65584 AWL65584:AWZ65584 BGH65584:BGV65584 BQD65584:BQR65584 BZZ65584:CAN65584 CJV65584:CKJ65584 CTR65584:CUF65584 DDN65584:DEB65584 DNJ65584:DNX65584 DXF65584:DXT65584 EHB65584:EHP65584 EQX65584:ERL65584 FAT65584:FBH65584 FKP65584:FLD65584 FUL65584:FUZ65584 GEH65584:GEV65584 GOD65584:GOR65584 GXZ65584:GYN65584 HHV65584:HIJ65584 HRR65584:HSF65584 IBN65584:ICB65584 ILJ65584:ILX65584 IVF65584:IVT65584 JFB65584:JFP65584 JOX65584:JPL65584 JYT65584:JZH65584 KIP65584:KJD65584 KSL65584:KSZ65584 LCH65584:LCV65584 LMD65584:LMR65584 LVZ65584:LWN65584 MFV65584:MGJ65584 MPR65584:MQF65584 MZN65584:NAB65584 NJJ65584:NJX65584 NTF65584:NTT65584 ODB65584:ODP65584 OMX65584:ONL65584 OWT65584:OXH65584 PGP65584:PHD65584 PQL65584:PQZ65584 QAH65584:QAV65584 QKD65584:QKR65584 QTZ65584:QUN65584 RDV65584:REJ65584 RNR65584:ROF65584 RXN65584:RYB65584 SHJ65584:SHX65584 SRF65584:SRT65584 TBB65584:TBP65584 TKX65584:TLL65584 TUT65584:TVH65584 UEP65584:UFD65584 UOL65584:UOZ65584 UYH65584:UYV65584 VID65584:VIR65584 VRZ65584:VSN65584 WBV65584:WCJ65584 WLR65584:WMF65584 WVN65584:WWB65584 F131120:T131120 JB131120:JP131120 SX131120:TL131120 ACT131120:ADH131120 AMP131120:AND131120 AWL131120:AWZ131120 BGH131120:BGV131120 BQD131120:BQR131120 BZZ131120:CAN131120 CJV131120:CKJ131120 CTR131120:CUF131120 DDN131120:DEB131120 DNJ131120:DNX131120 DXF131120:DXT131120 EHB131120:EHP131120 EQX131120:ERL131120 FAT131120:FBH131120 FKP131120:FLD131120 FUL131120:FUZ131120 GEH131120:GEV131120 GOD131120:GOR131120 GXZ131120:GYN131120 HHV131120:HIJ131120 HRR131120:HSF131120 IBN131120:ICB131120 ILJ131120:ILX131120 IVF131120:IVT131120 JFB131120:JFP131120 JOX131120:JPL131120 JYT131120:JZH131120 KIP131120:KJD131120 KSL131120:KSZ131120 LCH131120:LCV131120 LMD131120:LMR131120 LVZ131120:LWN131120 MFV131120:MGJ131120 MPR131120:MQF131120 MZN131120:NAB131120 NJJ131120:NJX131120 NTF131120:NTT131120 ODB131120:ODP131120 OMX131120:ONL131120 OWT131120:OXH131120 PGP131120:PHD131120 PQL131120:PQZ131120 QAH131120:QAV131120 QKD131120:QKR131120 QTZ131120:QUN131120 RDV131120:REJ131120 RNR131120:ROF131120 RXN131120:RYB131120 SHJ131120:SHX131120 SRF131120:SRT131120 TBB131120:TBP131120 TKX131120:TLL131120 TUT131120:TVH131120 UEP131120:UFD131120 UOL131120:UOZ131120 UYH131120:UYV131120 VID131120:VIR131120 VRZ131120:VSN131120 WBV131120:WCJ131120 WLR131120:WMF131120 WVN131120:WWB131120 F196656:T196656 JB196656:JP196656 SX196656:TL196656 ACT196656:ADH196656 AMP196656:AND196656 AWL196656:AWZ196656 BGH196656:BGV196656 BQD196656:BQR196656 BZZ196656:CAN196656 CJV196656:CKJ196656 CTR196656:CUF196656 DDN196656:DEB196656 DNJ196656:DNX196656 DXF196656:DXT196656 EHB196656:EHP196656 EQX196656:ERL196656 FAT196656:FBH196656 FKP196656:FLD196656 FUL196656:FUZ196656 GEH196656:GEV196656 GOD196656:GOR196656 GXZ196656:GYN196656 HHV196656:HIJ196656 HRR196656:HSF196656 IBN196656:ICB196656 ILJ196656:ILX196656 IVF196656:IVT196656 JFB196656:JFP196656 JOX196656:JPL196656 JYT196656:JZH196656 KIP196656:KJD196656 KSL196656:KSZ196656 LCH196656:LCV196656 LMD196656:LMR196656 LVZ196656:LWN196656 MFV196656:MGJ196656 MPR196656:MQF196656 MZN196656:NAB196656 NJJ196656:NJX196656 NTF196656:NTT196656 ODB196656:ODP196656 OMX196656:ONL196656 OWT196656:OXH196656 PGP196656:PHD196656 PQL196656:PQZ196656 QAH196656:QAV196656 QKD196656:QKR196656 QTZ196656:QUN196656 RDV196656:REJ196656 RNR196656:ROF196656 RXN196656:RYB196656 SHJ196656:SHX196656 SRF196656:SRT196656 TBB196656:TBP196656 TKX196656:TLL196656 TUT196656:TVH196656 UEP196656:UFD196656 UOL196656:UOZ196656 UYH196656:UYV196656 VID196656:VIR196656 VRZ196656:VSN196656 WBV196656:WCJ196656 WLR196656:WMF196656 WVN196656:WWB196656 F262192:T262192 JB262192:JP262192 SX262192:TL262192 ACT262192:ADH262192 AMP262192:AND262192 AWL262192:AWZ262192 BGH262192:BGV262192 BQD262192:BQR262192 BZZ262192:CAN262192 CJV262192:CKJ262192 CTR262192:CUF262192 DDN262192:DEB262192 DNJ262192:DNX262192 DXF262192:DXT262192 EHB262192:EHP262192 EQX262192:ERL262192 FAT262192:FBH262192 FKP262192:FLD262192 FUL262192:FUZ262192 GEH262192:GEV262192 GOD262192:GOR262192 GXZ262192:GYN262192 HHV262192:HIJ262192 HRR262192:HSF262192 IBN262192:ICB262192 ILJ262192:ILX262192 IVF262192:IVT262192 JFB262192:JFP262192 JOX262192:JPL262192 JYT262192:JZH262192 KIP262192:KJD262192 KSL262192:KSZ262192 LCH262192:LCV262192 LMD262192:LMR262192 LVZ262192:LWN262192 MFV262192:MGJ262192 MPR262192:MQF262192 MZN262192:NAB262192 NJJ262192:NJX262192 NTF262192:NTT262192 ODB262192:ODP262192 OMX262192:ONL262192 OWT262192:OXH262192 PGP262192:PHD262192 PQL262192:PQZ262192 QAH262192:QAV262192 QKD262192:QKR262192 QTZ262192:QUN262192 RDV262192:REJ262192 RNR262192:ROF262192 RXN262192:RYB262192 SHJ262192:SHX262192 SRF262192:SRT262192 TBB262192:TBP262192 TKX262192:TLL262192 TUT262192:TVH262192 UEP262192:UFD262192 UOL262192:UOZ262192 UYH262192:UYV262192 VID262192:VIR262192 VRZ262192:VSN262192 WBV262192:WCJ262192 WLR262192:WMF262192 WVN262192:WWB262192 F327728:T327728 JB327728:JP327728 SX327728:TL327728 ACT327728:ADH327728 AMP327728:AND327728 AWL327728:AWZ327728 BGH327728:BGV327728 BQD327728:BQR327728 BZZ327728:CAN327728 CJV327728:CKJ327728 CTR327728:CUF327728 DDN327728:DEB327728 DNJ327728:DNX327728 DXF327728:DXT327728 EHB327728:EHP327728 EQX327728:ERL327728 FAT327728:FBH327728 FKP327728:FLD327728 FUL327728:FUZ327728 GEH327728:GEV327728 GOD327728:GOR327728 GXZ327728:GYN327728 HHV327728:HIJ327728 HRR327728:HSF327728 IBN327728:ICB327728 ILJ327728:ILX327728 IVF327728:IVT327728 JFB327728:JFP327728 JOX327728:JPL327728 JYT327728:JZH327728 KIP327728:KJD327728 KSL327728:KSZ327728 LCH327728:LCV327728 LMD327728:LMR327728 LVZ327728:LWN327728 MFV327728:MGJ327728 MPR327728:MQF327728 MZN327728:NAB327728 NJJ327728:NJX327728 NTF327728:NTT327728 ODB327728:ODP327728 OMX327728:ONL327728 OWT327728:OXH327728 PGP327728:PHD327728 PQL327728:PQZ327728 QAH327728:QAV327728 QKD327728:QKR327728 QTZ327728:QUN327728 RDV327728:REJ327728 RNR327728:ROF327728 RXN327728:RYB327728 SHJ327728:SHX327728 SRF327728:SRT327728 TBB327728:TBP327728 TKX327728:TLL327728 TUT327728:TVH327728 UEP327728:UFD327728 UOL327728:UOZ327728 UYH327728:UYV327728 VID327728:VIR327728 VRZ327728:VSN327728 WBV327728:WCJ327728 WLR327728:WMF327728 WVN327728:WWB327728 F393264:T393264 JB393264:JP393264 SX393264:TL393264 ACT393264:ADH393264 AMP393264:AND393264 AWL393264:AWZ393264 BGH393264:BGV393264 BQD393264:BQR393264 BZZ393264:CAN393264 CJV393264:CKJ393264 CTR393264:CUF393264 DDN393264:DEB393264 DNJ393264:DNX393264 DXF393264:DXT393264 EHB393264:EHP393264 EQX393264:ERL393264 FAT393264:FBH393264 FKP393264:FLD393264 FUL393264:FUZ393264 GEH393264:GEV393264 GOD393264:GOR393264 GXZ393264:GYN393264 HHV393264:HIJ393264 HRR393264:HSF393264 IBN393264:ICB393264 ILJ393264:ILX393264 IVF393264:IVT393264 JFB393264:JFP393264 JOX393264:JPL393264 JYT393264:JZH393264 KIP393264:KJD393264 KSL393264:KSZ393264 LCH393264:LCV393264 LMD393264:LMR393264 LVZ393264:LWN393264 MFV393264:MGJ393264 MPR393264:MQF393264 MZN393264:NAB393264 NJJ393264:NJX393264 NTF393264:NTT393264 ODB393264:ODP393264 OMX393264:ONL393264 OWT393264:OXH393264 PGP393264:PHD393264 PQL393264:PQZ393264 QAH393264:QAV393264 QKD393264:QKR393264 QTZ393264:QUN393264 RDV393264:REJ393264 RNR393264:ROF393264 RXN393264:RYB393264 SHJ393264:SHX393264 SRF393264:SRT393264 TBB393264:TBP393264 TKX393264:TLL393264 TUT393264:TVH393264 UEP393264:UFD393264 UOL393264:UOZ393264 UYH393264:UYV393264 VID393264:VIR393264 VRZ393264:VSN393264 WBV393264:WCJ393264 WLR393264:WMF393264 WVN393264:WWB393264 F458800:T458800 JB458800:JP458800 SX458800:TL458800 ACT458800:ADH458800 AMP458800:AND458800 AWL458800:AWZ458800 BGH458800:BGV458800 BQD458800:BQR458800 BZZ458800:CAN458800 CJV458800:CKJ458800 CTR458800:CUF458800 DDN458800:DEB458800 DNJ458800:DNX458800 DXF458800:DXT458800 EHB458800:EHP458800 EQX458800:ERL458800 FAT458800:FBH458800 FKP458800:FLD458800 FUL458800:FUZ458800 GEH458800:GEV458800 GOD458800:GOR458800 GXZ458800:GYN458800 HHV458800:HIJ458800 HRR458800:HSF458800 IBN458800:ICB458800 ILJ458800:ILX458800 IVF458800:IVT458800 JFB458800:JFP458800 JOX458800:JPL458800 JYT458800:JZH458800 KIP458800:KJD458800 KSL458800:KSZ458800 LCH458800:LCV458800 LMD458800:LMR458800 LVZ458800:LWN458800 MFV458800:MGJ458800 MPR458800:MQF458800 MZN458800:NAB458800 NJJ458800:NJX458800 NTF458800:NTT458800 ODB458800:ODP458800 OMX458800:ONL458800 OWT458800:OXH458800 PGP458800:PHD458800 PQL458800:PQZ458800 QAH458800:QAV458800 QKD458800:QKR458800 QTZ458800:QUN458800 RDV458800:REJ458800 RNR458800:ROF458800 RXN458800:RYB458800 SHJ458800:SHX458800 SRF458800:SRT458800 TBB458800:TBP458800 TKX458800:TLL458800 TUT458800:TVH458800 UEP458800:UFD458800 UOL458800:UOZ458800 UYH458800:UYV458800 VID458800:VIR458800 VRZ458800:VSN458800 WBV458800:WCJ458800 WLR458800:WMF458800 WVN458800:WWB458800 F524336:T524336 JB524336:JP524336 SX524336:TL524336 ACT524336:ADH524336 AMP524336:AND524336 AWL524336:AWZ524336 BGH524336:BGV524336 BQD524336:BQR524336 BZZ524336:CAN524336 CJV524336:CKJ524336 CTR524336:CUF524336 DDN524336:DEB524336 DNJ524336:DNX524336 DXF524336:DXT524336 EHB524336:EHP524336 EQX524336:ERL524336 FAT524336:FBH524336 FKP524336:FLD524336 FUL524336:FUZ524336 GEH524336:GEV524336 GOD524336:GOR524336 GXZ524336:GYN524336 HHV524336:HIJ524336 HRR524336:HSF524336 IBN524336:ICB524336 ILJ524336:ILX524336 IVF524336:IVT524336 JFB524336:JFP524336 JOX524336:JPL524336 JYT524336:JZH524336 KIP524336:KJD524336 KSL524336:KSZ524336 LCH524336:LCV524336 LMD524336:LMR524336 LVZ524336:LWN524336 MFV524336:MGJ524336 MPR524336:MQF524336 MZN524336:NAB524336 NJJ524336:NJX524336 NTF524336:NTT524336 ODB524336:ODP524336 OMX524336:ONL524336 OWT524336:OXH524336 PGP524336:PHD524336 PQL524336:PQZ524336 QAH524336:QAV524336 QKD524336:QKR524336 QTZ524336:QUN524336 RDV524336:REJ524336 RNR524336:ROF524336 RXN524336:RYB524336 SHJ524336:SHX524336 SRF524336:SRT524336 TBB524336:TBP524336 TKX524336:TLL524336 TUT524336:TVH524336 UEP524336:UFD524336 UOL524336:UOZ524336 UYH524336:UYV524336 VID524336:VIR524336 VRZ524336:VSN524336 WBV524336:WCJ524336 WLR524336:WMF524336 WVN524336:WWB524336 F589872:T589872 JB589872:JP589872 SX589872:TL589872 ACT589872:ADH589872 AMP589872:AND589872 AWL589872:AWZ589872 BGH589872:BGV589872 BQD589872:BQR589872 BZZ589872:CAN589872 CJV589872:CKJ589872 CTR589872:CUF589872 DDN589872:DEB589872 DNJ589872:DNX589872 DXF589872:DXT589872 EHB589872:EHP589872 EQX589872:ERL589872 FAT589872:FBH589872 FKP589872:FLD589872 FUL589872:FUZ589872 GEH589872:GEV589872 GOD589872:GOR589872 GXZ589872:GYN589872 HHV589872:HIJ589872 HRR589872:HSF589872 IBN589872:ICB589872 ILJ589872:ILX589872 IVF589872:IVT589872 JFB589872:JFP589872 JOX589872:JPL589872 JYT589872:JZH589872 KIP589872:KJD589872 KSL589872:KSZ589872 LCH589872:LCV589872 LMD589872:LMR589872 LVZ589872:LWN589872 MFV589872:MGJ589872 MPR589872:MQF589872 MZN589872:NAB589872 NJJ589872:NJX589872 NTF589872:NTT589872 ODB589872:ODP589872 OMX589872:ONL589872 OWT589872:OXH589872 PGP589872:PHD589872 PQL589872:PQZ589872 QAH589872:QAV589872 QKD589872:QKR589872 QTZ589872:QUN589872 RDV589872:REJ589872 RNR589872:ROF589872 RXN589872:RYB589872 SHJ589872:SHX589872 SRF589872:SRT589872 TBB589872:TBP589872 TKX589872:TLL589872 TUT589872:TVH589872 UEP589872:UFD589872 UOL589872:UOZ589872 UYH589872:UYV589872 VID589872:VIR589872 VRZ589872:VSN589872 WBV589872:WCJ589872 WLR589872:WMF589872 WVN589872:WWB589872 F655408:T655408 JB655408:JP655408 SX655408:TL655408 ACT655408:ADH655408 AMP655408:AND655408 AWL655408:AWZ655408 BGH655408:BGV655408 BQD655408:BQR655408 BZZ655408:CAN655408 CJV655408:CKJ655408 CTR655408:CUF655408 DDN655408:DEB655408 DNJ655408:DNX655408 DXF655408:DXT655408 EHB655408:EHP655408 EQX655408:ERL655408 FAT655408:FBH655408 FKP655408:FLD655408 FUL655408:FUZ655408 GEH655408:GEV655408 GOD655408:GOR655408 GXZ655408:GYN655408 HHV655408:HIJ655408 HRR655408:HSF655408 IBN655408:ICB655408 ILJ655408:ILX655408 IVF655408:IVT655408 JFB655408:JFP655408 JOX655408:JPL655408 JYT655408:JZH655408 KIP655408:KJD655408 KSL655408:KSZ655408 LCH655408:LCV655408 LMD655408:LMR655408 LVZ655408:LWN655408 MFV655408:MGJ655408 MPR655408:MQF655408 MZN655408:NAB655408 NJJ655408:NJX655408 NTF655408:NTT655408 ODB655408:ODP655408 OMX655408:ONL655408 OWT655408:OXH655408 PGP655408:PHD655408 PQL655408:PQZ655408 QAH655408:QAV655408 QKD655408:QKR655408 QTZ655408:QUN655408 RDV655408:REJ655408 RNR655408:ROF655408 RXN655408:RYB655408 SHJ655408:SHX655408 SRF655408:SRT655408 TBB655408:TBP655408 TKX655408:TLL655408 TUT655408:TVH655408 UEP655408:UFD655408 UOL655408:UOZ655408 UYH655408:UYV655408 VID655408:VIR655408 VRZ655408:VSN655408 WBV655408:WCJ655408 WLR655408:WMF655408 WVN655408:WWB655408 F720944:T720944 JB720944:JP720944 SX720944:TL720944 ACT720944:ADH720944 AMP720944:AND720944 AWL720944:AWZ720944 BGH720944:BGV720944 BQD720944:BQR720944 BZZ720944:CAN720944 CJV720944:CKJ720944 CTR720944:CUF720944 DDN720944:DEB720944 DNJ720944:DNX720944 DXF720944:DXT720944 EHB720944:EHP720944 EQX720944:ERL720944 FAT720944:FBH720944 FKP720944:FLD720944 FUL720944:FUZ720944 GEH720944:GEV720944 GOD720944:GOR720944 GXZ720944:GYN720944 HHV720944:HIJ720944 HRR720944:HSF720944 IBN720944:ICB720944 ILJ720944:ILX720944 IVF720944:IVT720944 JFB720944:JFP720944 JOX720944:JPL720944 JYT720944:JZH720944 KIP720944:KJD720944 KSL720944:KSZ720944 LCH720944:LCV720944 LMD720944:LMR720944 LVZ720944:LWN720944 MFV720944:MGJ720944 MPR720944:MQF720944 MZN720944:NAB720944 NJJ720944:NJX720944 NTF720944:NTT720944 ODB720944:ODP720944 OMX720944:ONL720944 OWT720944:OXH720944 PGP720944:PHD720944 PQL720944:PQZ720944 QAH720944:QAV720944 QKD720944:QKR720944 QTZ720944:QUN720944 RDV720944:REJ720944 RNR720944:ROF720944 RXN720944:RYB720944 SHJ720944:SHX720944 SRF720944:SRT720944 TBB720944:TBP720944 TKX720944:TLL720944 TUT720944:TVH720944 UEP720944:UFD720944 UOL720944:UOZ720944 UYH720944:UYV720944 VID720944:VIR720944 VRZ720944:VSN720944 WBV720944:WCJ720944 WLR720944:WMF720944 WVN720944:WWB720944 F786480:T786480 JB786480:JP786480 SX786480:TL786480 ACT786480:ADH786480 AMP786480:AND786480 AWL786480:AWZ786480 BGH786480:BGV786480 BQD786480:BQR786480 BZZ786480:CAN786480 CJV786480:CKJ786480 CTR786480:CUF786480 DDN786480:DEB786480 DNJ786480:DNX786480 DXF786480:DXT786480 EHB786480:EHP786480 EQX786480:ERL786480 FAT786480:FBH786480 FKP786480:FLD786480 FUL786480:FUZ786480 GEH786480:GEV786480 GOD786480:GOR786480 GXZ786480:GYN786480 HHV786480:HIJ786480 HRR786480:HSF786480 IBN786480:ICB786480 ILJ786480:ILX786480 IVF786480:IVT786480 JFB786480:JFP786480 JOX786480:JPL786480 JYT786480:JZH786480 KIP786480:KJD786480 KSL786480:KSZ786480 LCH786480:LCV786480 LMD786480:LMR786480 LVZ786480:LWN786480 MFV786480:MGJ786480 MPR786480:MQF786480 MZN786480:NAB786480 NJJ786480:NJX786480 NTF786480:NTT786480 ODB786480:ODP786480 OMX786480:ONL786480 OWT786480:OXH786480 PGP786480:PHD786480 PQL786480:PQZ786480 QAH786480:QAV786480 QKD786480:QKR786480 QTZ786480:QUN786480 RDV786480:REJ786480 RNR786480:ROF786480 RXN786480:RYB786480 SHJ786480:SHX786480 SRF786480:SRT786480 TBB786480:TBP786480 TKX786480:TLL786480 TUT786480:TVH786480 UEP786480:UFD786480 UOL786480:UOZ786480 UYH786480:UYV786480 VID786480:VIR786480 VRZ786480:VSN786480 WBV786480:WCJ786480 WLR786480:WMF786480 WVN786480:WWB786480 F852016:T852016 JB852016:JP852016 SX852016:TL852016 ACT852016:ADH852016 AMP852016:AND852016 AWL852016:AWZ852016 BGH852016:BGV852016 BQD852016:BQR852016 BZZ852016:CAN852016 CJV852016:CKJ852016 CTR852016:CUF852016 DDN852016:DEB852016 DNJ852016:DNX852016 DXF852016:DXT852016 EHB852016:EHP852016 EQX852016:ERL852016 FAT852016:FBH852016 FKP852016:FLD852016 FUL852016:FUZ852016 GEH852016:GEV852016 GOD852016:GOR852016 GXZ852016:GYN852016 HHV852016:HIJ852016 HRR852016:HSF852016 IBN852016:ICB852016 ILJ852016:ILX852016 IVF852016:IVT852016 JFB852016:JFP852016 JOX852016:JPL852016 JYT852016:JZH852016 KIP852016:KJD852016 KSL852016:KSZ852016 LCH852016:LCV852016 LMD852016:LMR852016 LVZ852016:LWN852016 MFV852016:MGJ852016 MPR852016:MQF852016 MZN852016:NAB852016 NJJ852016:NJX852016 NTF852016:NTT852016 ODB852016:ODP852016 OMX852016:ONL852016 OWT852016:OXH852016 PGP852016:PHD852016 PQL852016:PQZ852016 QAH852016:QAV852016 QKD852016:QKR852016 QTZ852016:QUN852016 RDV852016:REJ852016 RNR852016:ROF852016 RXN852016:RYB852016 SHJ852016:SHX852016 SRF852016:SRT852016 TBB852016:TBP852016 TKX852016:TLL852016 TUT852016:TVH852016 UEP852016:UFD852016 UOL852016:UOZ852016 UYH852016:UYV852016 VID852016:VIR852016 VRZ852016:VSN852016 WBV852016:WCJ852016 WLR852016:WMF852016 WVN852016:WWB852016 F917552:T917552 JB917552:JP917552 SX917552:TL917552 ACT917552:ADH917552 AMP917552:AND917552 AWL917552:AWZ917552 BGH917552:BGV917552 BQD917552:BQR917552 BZZ917552:CAN917552 CJV917552:CKJ917552 CTR917552:CUF917552 DDN917552:DEB917552 DNJ917552:DNX917552 DXF917552:DXT917552 EHB917552:EHP917552 EQX917552:ERL917552 FAT917552:FBH917552 FKP917552:FLD917552 FUL917552:FUZ917552 GEH917552:GEV917552 GOD917552:GOR917552 GXZ917552:GYN917552 HHV917552:HIJ917552 HRR917552:HSF917552 IBN917552:ICB917552 ILJ917552:ILX917552 IVF917552:IVT917552 JFB917552:JFP917552 JOX917552:JPL917552 JYT917552:JZH917552 KIP917552:KJD917552 KSL917552:KSZ917552 LCH917552:LCV917552 LMD917552:LMR917552 LVZ917552:LWN917552 MFV917552:MGJ917552 MPR917552:MQF917552 MZN917552:NAB917552 NJJ917552:NJX917552 NTF917552:NTT917552 ODB917552:ODP917552 OMX917552:ONL917552 OWT917552:OXH917552 PGP917552:PHD917552 PQL917552:PQZ917552 QAH917552:QAV917552 QKD917552:QKR917552 QTZ917552:QUN917552 RDV917552:REJ917552 RNR917552:ROF917552 RXN917552:RYB917552 SHJ917552:SHX917552 SRF917552:SRT917552 TBB917552:TBP917552 TKX917552:TLL917552 TUT917552:TVH917552 UEP917552:UFD917552 UOL917552:UOZ917552 UYH917552:UYV917552 VID917552:VIR917552 VRZ917552:VSN917552 WBV917552:WCJ917552 WLR917552:WMF917552 WVN917552:WWB917552 F983088:T983088 JB983088:JP983088 SX983088:TL983088 ACT983088:ADH983088 AMP983088:AND983088 AWL983088:AWZ983088 BGH983088:BGV983088 BQD983088:BQR983088 BZZ983088:CAN983088 CJV983088:CKJ983088 CTR983088:CUF983088 DDN983088:DEB983088 DNJ983088:DNX983088 DXF983088:DXT983088 EHB983088:EHP983088 EQX983088:ERL983088 FAT983088:FBH983088 FKP983088:FLD983088 FUL983088:FUZ983088 GEH983088:GEV983088 GOD983088:GOR983088 GXZ983088:GYN983088 HHV983088:HIJ983088 HRR983088:HSF983088 IBN983088:ICB983088 ILJ983088:ILX983088 IVF983088:IVT983088 JFB983088:JFP983088 JOX983088:JPL983088 JYT983088:JZH983088 KIP983088:KJD983088 KSL983088:KSZ983088 LCH983088:LCV983088 LMD983088:LMR983088 LVZ983088:LWN983088 MFV983088:MGJ983088 MPR983088:MQF983088 MZN983088:NAB983088 NJJ983088:NJX983088 NTF983088:NTT983088 ODB983088:ODP983088 OMX983088:ONL983088 OWT983088:OXH983088 PGP983088:PHD983088 PQL983088:PQZ983088 QAH983088:QAV983088 QKD983088:QKR983088 QTZ983088:QUN983088 RDV983088:REJ983088 RNR983088:ROF983088 RXN983088:RYB983088 SHJ983088:SHX983088 SRF983088:SRT983088 TBB983088:TBP983088 TKX983088:TLL983088 TUT983088:TVH983088 UEP983088:UFD983088 UOL983088:UOZ983088 UYH983088:UYV983088 VID983088:VIR983088 VRZ983088:VSN983088 WBV983088:WCJ983088 WLR983088:WMF983088 F48:T48" xr:uid="{00000000-0002-0000-0100-000001000000}">
      <formula1>"P,F, "</formula1>
    </dataValidation>
    <dataValidation type="list" allowBlank="1" showInputMessage="1" showErrorMessage="1" sqref="WVN983058:WWB983086 F65554:T65582 JB65554:JP65582 SX65554:TL65582 ACT65554:ADH65582 AMP65554:AND65582 AWL65554:AWZ65582 BGH65554:BGV65582 BQD65554:BQR65582 BZZ65554:CAN65582 CJV65554:CKJ65582 CTR65554:CUF65582 DDN65554:DEB65582 DNJ65554:DNX65582 DXF65554:DXT65582 EHB65554:EHP65582 EQX65554:ERL65582 FAT65554:FBH65582 FKP65554:FLD65582 FUL65554:FUZ65582 GEH65554:GEV65582 GOD65554:GOR65582 GXZ65554:GYN65582 HHV65554:HIJ65582 HRR65554:HSF65582 IBN65554:ICB65582 ILJ65554:ILX65582 IVF65554:IVT65582 JFB65554:JFP65582 JOX65554:JPL65582 JYT65554:JZH65582 KIP65554:KJD65582 KSL65554:KSZ65582 LCH65554:LCV65582 LMD65554:LMR65582 LVZ65554:LWN65582 MFV65554:MGJ65582 MPR65554:MQF65582 MZN65554:NAB65582 NJJ65554:NJX65582 NTF65554:NTT65582 ODB65554:ODP65582 OMX65554:ONL65582 OWT65554:OXH65582 PGP65554:PHD65582 PQL65554:PQZ65582 QAH65554:QAV65582 QKD65554:QKR65582 QTZ65554:QUN65582 RDV65554:REJ65582 RNR65554:ROF65582 RXN65554:RYB65582 SHJ65554:SHX65582 SRF65554:SRT65582 TBB65554:TBP65582 TKX65554:TLL65582 TUT65554:TVH65582 UEP65554:UFD65582 UOL65554:UOZ65582 UYH65554:UYV65582 VID65554:VIR65582 VRZ65554:VSN65582 WBV65554:WCJ65582 WLR65554:WMF65582 WVN65554:WWB65582 F131090:T131118 JB131090:JP131118 SX131090:TL131118 ACT131090:ADH131118 AMP131090:AND131118 AWL131090:AWZ131118 BGH131090:BGV131118 BQD131090:BQR131118 BZZ131090:CAN131118 CJV131090:CKJ131118 CTR131090:CUF131118 DDN131090:DEB131118 DNJ131090:DNX131118 DXF131090:DXT131118 EHB131090:EHP131118 EQX131090:ERL131118 FAT131090:FBH131118 FKP131090:FLD131118 FUL131090:FUZ131118 GEH131090:GEV131118 GOD131090:GOR131118 GXZ131090:GYN131118 HHV131090:HIJ131118 HRR131090:HSF131118 IBN131090:ICB131118 ILJ131090:ILX131118 IVF131090:IVT131118 JFB131090:JFP131118 JOX131090:JPL131118 JYT131090:JZH131118 KIP131090:KJD131118 KSL131090:KSZ131118 LCH131090:LCV131118 LMD131090:LMR131118 LVZ131090:LWN131118 MFV131090:MGJ131118 MPR131090:MQF131118 MZN131090:NAB131118 NJJ131090:NJX131118 NTF131090:NTT131118 ODB131090:ODP131118 OMX131090:ONL131118 OWT131090:OXH131118 PGP131090:PHD131118 PQL131090:PQZ131118 QAH131090:QAV131118 QKD131090:QKR131118 QTZ131090:QUN131118 RDV131090:REJ131118 RNR131090:ROF131118 RXN131090:RYB131118 SHJ131090:SHX131118 SRF131090:SRT131118 TBB131090:TBP131118 TKX131090:TLL131118 TUT131090:TVH131118 UEP131090:UFD131118 UOL131090:UOZ131118 UYH131090:UYV131118 VID131090:VIR131118 VRZ131090:VSN131118 WBV131090:WCJ131118 WLR131090:WMF131118 WVN131090:WWB131118 F196626:T196654 JB196626:JP196654 SX196626:TL196654 ACT196626:ADH196654 AMP196626:AND196654 AWL196626:AWZ196654 BGH196626:BGV196654 BQD196626:BQR196654 BZZ196626:CAN196654 CJV196626:CKJ196654 CTR196626:CUF196654 DDN196626:DEB196654 DNJ196626:DNX196654 DXF196626:DXT196654 EHB196626:EHP196654 EQX196626:ERL196654 FAT196626:FBH196654 FKP196626:FLD196654 FUL196626:FUZ196654 GEH196626:GEV196654 GOD196626:GOR196654 GXZ196626:GYN196654 HHV196626:HIJ196654 HRR196626:HSF196654 IBN196626:ICB196654 ILJ196626:ILX196654 IVF196626:IVT196654 JFB196626:JFP196654 JOX196626:JPL196654 JYT196626:JZH196654 KIP196626:KJD196654 KSL196626:KSZ196654 LCH196626:LCV196654 LMD196626:LMR196654 LVZ196626:LWN196654 MFV196626:MGJ196654 MPR196626:MQF196654 MZN196626:NAB196654 NJJ196626:NJX196654 NTF196626:NTT196654 ODB196626:ODP196654 OMX196626:ONL196654 OWT196626:OXH196654 PGP196626:PHD196654 PQL196626:PQZ196654 QAH196626:QAV196654 QKD196626:QKR196654 QTZ196626:QUN196654 RDV196626:REJ196654 RNR196626:ROF196654 RXN196626:RYB196654 SHJ196626:SHX196654 SRF196626:SRT196654 TBB196626:TBP196654 TKX196626:TLL196654 TUT196626:TVH196654 UEP196626:UFD196654 UOL196626:UOZ196654 UYH196626:UYV196654 VID196626:VIR196654 VRZ196626:VSN196654 WBV196626:WCJ196654 WLR196626:WMF196654 WVN196626:WWB196654 F262162:T262190 JB262162:JP262190 SX262162:TL262190 ACT262162:ADH262190 AMP262162:AND262190 AWL262162:AWZ262190 BGH262162:BGV262190 BQD262162:BQR262190 BZZ262162:CAN262190 CJV262162:CKJ262190 CTR262162:CUF262190 DDN262162:DEB262190 DNJ262162:DNX262190 DXF262162:DXT262190 EHB262162:EHP262190 EQX262162:ERL262190 FAT262162:FBH262190 FKP262162:FLD262190 FUL262162:FUZ262190 GEH262162:GEV262190 GOD262162:GOR262190 GXZ262162:GYN262190 HHV262162:HIJ262190 HRR262162:HSF262190 IBN262162:ICB262190 ILJ262162:ILX262190 IVF262162:IVT262190 JFB262162:JFP262190 JOX262162:JPL262190 JYT262162:JZH262190 KIP262162:KJD262190 KSL262162:KSZ262190 LCH262162:LCV262190 LMD262162:LMR262190 LVZ262162:LWN262190 MFV262162:MGJ262190 MPR262162:MQF262190 MZN262162:NAB262190 NJJ262162:NJX262190 NTF262162:NTT262190 ODB262162:ODP262190 OMX262162:ONL262190 OWT262162:OXH262190 PGP262162:PHD262190 PQL262162:PQZ262190 QAH262162:QAV262190 QKD262162:QKR262190 QTZ262162:QUN262190 RDV262162:REJ262190 RNR262162:ROF262190 RXN262162:RYB262190 SHJ262162:SHX262190 SRF262162:SRT262190 TBB262162:TBP262190 TKX262162:TLL262190 TUT262162:TVH262190 UEP262162:UFD262190 UOL262162:UOZ262190 UYH262162:UYV262190 VID262162:VIR262190 VRZ262162:VSN262190 WBV262162:WCJ262190 WLR262162:WMF262190 WVN262162:WWB262190 F327698:T327726 JB327698:JP327726 SX327698:TL327726 ACT327698:ADH327726 AMP327698:AND327726 AWL327698:AWZ327726 BGH327698:BGV327726 BQD327698:BQR327726 BZZ327698:CAN327726 CJV327698:CKJ327726 CTR327698:CUF327726 DDN327698:DEB327726 DNJ327698:DNX327726 DXF327698:DXT327726 EHB327698:EHP327726 EQX327698:ERL327726 FAT327698:FBH327726 FKP327698:FLD327726 FUL327698:FUZ327726 GEH327698:GEV327726 GOD327698:GOR327726 GXZ327698:GYN327726 HHV327698:HIJ327726 HRR327698:HSF327726 IBN327698:ICB327726 ILJ327698:ILX327726 IVF327698:IVT327726 JFB327698:JFP327726 JOX327698:JPL327726 JYT327698:JZH327726 KIP327698:KJD327726 KSL327698:KSZ327726 LCH327698:LCV327726 LMD327698:LMR327726 LVZ327698:LWN327726 MFV327698:MGJ327726 MPR327698:MQF327726 MZN327698:NAB327726 NJJ327698:NJX327726 NTF327698:NTT327726 ODB327698:ODP327726 OMX327698:ONL327726 OWT327698:OXH327726 PGP327698:PHD327726 PQL327698:PQZ327726 QAH327698:QAV327726 QKD327698:QKR327726 QTZ327698:QUN327726 RDV327698:REJ327726 RNR327698:ROF327726 RXN327698:RYB327726 SHJ327698:SHX327726 SRF327698:SRT327726 TBB327698:TBP327726 TKX327698:TLL327726 TUT327698:TVH327726 UEP327698:UFD327726 UOL327698:UOZ327726 UYH327698:UYV327726 VID327698:VIR327726 VRZ327698:VSN327726 WBV327698:WCJ327726 WLR327698:WMF327726 WVN327698:WWB327726 F393234:T393262 JB393234:JP393262 SX393234:TL393262 ACT393234:ADH393262 AMP393234:AND393262 AWL393234:AWZ393262 BGH393234:BGV393262 BQD393234:BQR393262 BZZ393234:CAN393262 CJV393234:CKJ393262 CTR393234:CUF393262 DDN393234:DEB393262 DNJ393234:DNX393262 DXF393234:DXT393262 EHB393234:EHP393262 EQX393234:ERL393262 FAT393234:FBH393262 FKP393234:FLD393262 FUL393234:FUZ393262 GEH393234:GEV393262 GOD393234:GOR393262 GXZ393234:GYN393262 HHV393234:HIJ393262 HRR393234:HSF393262 IBN393234:ICB393262 ILJ393234:ILX393262 IVF393234:IVT393262 JFB393234:JFP393262 JOX393234:JPL393262 JYT393234:JZH393262 KIP393234:KJD393262 KSL393234:KSZ393262 LCH393234:LCV393262 LMD393234:LMR393262 LVZ393234:LWN393262 MFV393234:MGJ393262 MPR393234:MQF393262 MZN393234:NAB393262 NJJ393234:NJX393262 NTF393234:NTT393262 ODB393234:ODP393262 OMX393234:ONL393262 OWT393234:OXH393262 PGP393234:PHD393262 PQL393234:PQZ393262 QAH393234:QAV393262 QKD393234:QKR393262 QTZ393234:QUN393262 RDV393234:REJ393262 RNR393234:ROF393262 RXN393234:RYB393262 SHJ393234:SHX393262 SRF393234:SRT393262 TBB393234:TBP393262 TKX393234:TLL393262 TUT393234:TVH393262 UEP393234:UFD393262 UOL393234:UOZ393262 UYH393234:UYV393262 VID393234:VIR393262 VRZ393234:VSN393262 WBV393234:WCJ393262 WLR393234:WMF393262 WVN393234:WWB393262 F458770:T458798 JB458770:JP458798 SX458770:TL458798 ACT458770:ADH458798 AMP458770:AND458798 AWL458770:AWZ458798 BGH458770:BGV458798 BQD458770:BQR458798 BZZ458770:CAN458798 CJV458770:CKJ458798 CTR458770:CUF458798 DDN458770:DEB458798 DNJ458770:DNX458798 DXF458770:DXT458798 EHB458770:EHP458798 EQX458770:ERL458798 FAT458770:FBH458798 FKP458770:FLD458798 FUL458770:FUZ458798 GEH458770:GEV458798 GOD458770:GOR458798 GXZ458770:GYN458798 HHV458770:HIJ458798 HRR458770:HSF458798 IBN458770:ICB458798 ILJ458770:ILX458798 IVF458770:IVT458798 JFB458770:JFP458798 JOX458770:JPL458798 JYT458770:JZH458798 KIP458770:KJD458798 KSL458770:KSZ458798 LCH458770:LCV458798 LMD458770:LMR458798 LVZ458770:LWN458798 MFV458770:MGJ458798 MPR458770:MQF458798 MZN458770:NAB458798 NJJ458770:NJX458798 NTF458770:NTT458798 ODB458770:ODP458798 OMX458770:ONL458798 OWT458770:OXH458798 PGP458770:PHD458798 PQL458770:PQZ458798 QAH458770:QAV458798 QKD458770:QKR458798 QTZ458770:QUN458798 RDV458770:REJ458798 RNR458770:ROF458798 RXN458770:RYB458798 SHJ458770:SHX458798 SRF458770:SRT458798 TBB458770:TBP458798 TKX458770:TLL458798 TUT458770:TVH458798 UEP458770:UFD458798 UOL458770:UOZ458798 UYH458770:UYV458798 VID458770:VIR458798 VRZ458770:VSN458798 WBV458770:WCJ458798 WLR458770:WMF458798 WVN458770:WWB458798 F524306:T524334 JB524306:JP524334 SX524306:TL524334 ACT524306:ADH524334 AMP524306:AND524334 AWL524306:AWZ524334 BGH524306:BGV524334 BQD524306:BQR524334 BZZ524306:CAN524334 CJV524306:CKJ524334 CTR524306:CUF524334 DDN524306:DEB524334 DNJ524306:DNX524334 DXF524306:DXT524334 EHB524306:EHP524334 EQX524306:ERL524334 FAT524306:FBH524334 FKP524306:FLD524334 FUL524306:FUZ524334 GEH524306:GEV524334 GOD524306:GOR524334 GXZ524306:GYN524334 HHV524306:HIJ524334 HRR524306:HSF524334 IBN524306:ICB524334 ILJ524306:ILX524334 IVF524306:IVT524334 JFB524306:JFP524334 JOX524306:JPL524334 JYT524306:JZH524334 KIP524306:KJD524334 KSL524306:KSZ524334 LCH524306:LCV524334 LMD524306:LMR524334 LVZ524306:LWN524334 MFV524306:MGJ524334 MPR524306:MQF524334 MZN524306:NAB524334 NJJ524306:NJX524334 NTF524306:NTT524334 ODB524306:ODP524334 OMX524306:ONL524334 OWT524306:OXH524334 PGP524306:PHD524334 PQL524306:PQZ524334 QAH524306:QAV524334 QKD524306:QKR524334 QTZ524306:QUN524334 RDV524306:REJ524334 RNR524306:ROF524334 RXN524306:RYB524334 SHJ524306:SHX524334 SRF524306:SRT524334 TBB524306:TBP524334 TKX524306:TLL524334 TUT524306:TVH524334 UEP524306:UFD524334 UOL524306:UOZ524334 UYH524306:UYV524334 VID524306:VIR524334 VRZ524306:VSN524334 WBV524306:WCJ524334 WLR524306:WMF524334 WVN524306:WWB524334 F589842:T589870 JB589842:JP589870 SX589842:TL589870 ACT589842:ADH589870 AMP589842:AND589870 AWL589842:AWZ589870 BGH589842:BGV589870 BQD589842:BQR589870 BZZ589842:CAN589870 CJV589842:CKJ589870 CTR589842:CUF589870 DDN589842:DEB589870 DNJ589842:DNX589870 DXF589842:DXT589870 EHB589842:EHP589870 EQX589842:ERL589870 FAT589842:FBH589870 FKP589842:FLD589870 FUL589842:FUZ589870 GEH589842:GEV589870 GOD589842:GOR589870 GXZ589842:GYN589870 HHV589842:HIJ589870 HRR589842:HSF589870 IBN589842:ICB589870 ILJ589842:ILX589870 IVF589842:IVT589870 JFB589842:JFP589870 JOX589842:JPL589870 JYT589842:JZH589870 KIP589842:KJD589870 KSL589842:KSZ589870 LCH589842:LCV589870 LMD589842:LMR589870 LVZ589842:LWN589870 MFV589842:MGJ589870 MPR589842:MQF589870 MZN589842:NAB589870 NJJ589842:NJX589870 NTF589842:NTT589870 ODB589842:ODP589870 OMX589842:ONL589870 OWT589842:OXH589870 PGP589842:PHD589870 PQL589842:PQZ589870 QAH589842:QAV589870 QKD589842:QKR589870 QTZ589842:QUN589870 RDV589842:REJ589870 RNR589842:ROF589870 RXN589842:RYB589870 SHJ589842:SHX589870 SRF589842:SRT589870 TBB589842:TBP589870 TKX589842:TLL589870 TUT589842:TVH589870 UEP589842:UFD589870 UOL589842:UOZ589870 UYH589842:UYV589870 VID589842:VIR589870 VRZ589842:VSN589870 WBV589842:WCJ589870 WLR589842:WMF589870 WVN589842:WWB589870 F655378:T655406 JB655378:JP655406 SX655378:TL655406 ACT655378:ADH655406 AMP655378:AND655406 AWL655378:AWZ655406 BGH655378:BGV655406 BQD655378:BQR655406 BZZ655378:CAN655406 CJV655378:CKJ655406 CTR655378:CUF655406 DDN655378:DEB655406 DNJ655378:DNX655406 DXF655378:DXT655406 EHB655378:EHP655406 EQX655378:ERL655406 FAT655378:FBH655406 FKP655378:FLD655406 FUL655378:FUZ655406 GEH655378:GEV655406 GOD655378:GOR655406 GXZ655378:GYN655406 HHV655378:HIJ655406 HRR655378:HSF655406 IBN655378:ICB655406 ILJ655378:ILX655406 IVF655378:IVT655406 JFB655378:JFP655406 JOX655378:JPL655406 JYT655378:JZH655406 KIP655378:KJD655406 KSL655378:KSZ655406 LCH655378:LCV655406 LMD655378:LMR655406 LVZ655378:LWN655406 MFV655378:MGJ655406 MPR655378:MQF655406 MZN655378:NAB655406 NJJ655378:NJX655406 NTF655378:NTT655406 ODB655378:ODP655406 OMX655378:ONL655406 OWT655378:OXH655406 PGP655378:PHD655406 PQL655378:PQZ655406 QAH655378:QAV655406 QKD655378:QKR655406 QTZ655378:QUN655406 RDV655378:REJ655406 RNR655378:ROF655406 RXN655378:RYB655406 SHJ655378:SHX655406 SRF655378:SRT655406 TBB655378:TBP655406 TKX655378:TLL655406 TUT655378:TVH655406 UEP655378:UFD655406 UOL655378:UOZ655406 UYH655378:UYV655406 VID655378:VIR655406 VRZ655378:VSN655406 WBV655378:WCJ655406 WLR655378:WMF655406 WVN655378:WWB655406 F720914:T720942 JB720914:JP720942 SX720914:TL720942 ACT720914:ADH720942 AMP720914:AND720942 AWL720914:AWZ720942 BGH720914:BGV720942 BQD720914:BQR720942 BZZ720914:CAN720942 CJV720914:CKJ720942 CTR720914:CUF720942 DDN720914:DEB720942 DNJ720914:DNX720942 DXF720914:DXT720942 EHB720914:EHP720942 EQX720914:ERL720942 FAT720914:FBH720942 FKP720914:FLD720942 FUL720914:FUZ720942 GEH720914:GEV720942 GOD720914:GOR720942 GXZ720914:GYN720942 HHV720914:HIJ720942 HRR720914:HSF720942 IBN720914:ICB720942 ILJ720914:ILX720942 IVF720914:IVT720942 JFB720914:JFP720942 JOX720914:JPL720942 JYT720914:JZH720942 KIP720914:KJD720942 KSL720914:KSZ720942 LCH720914:LCV720942 LMD720914:LMR720942 LVZ720914:LWN720942 MFV720914:MGJ720942 MPR720914:MQF720942 MZN720914:NAB720942 NJJ720914:NJX720942 NTF720914:NTT720942 ODB720914:ODP720942 OMX720914:ONL720942 OWT720914:OXH720942 PGP720914:PHD720942 PQL720914:PQZ720942 QAH720914:QAV720942 QKD720914:QKR720942 QTZ720914:QUN720942 RDV720914:REJ720942 RNR720914:ROF720942 RXN720914:RYB720942 SHJ720914:SHX720942 SRF720914:SRT720942 TBB720914:TBP720942 TKX720914:TLL720942 TUT720914:TVH720942 UEP720914:UFD720942 UOL720914:UOZ720942 UYH720914:UYV720942 VID720914:VIR720942 VRZ720914:VSN720942 WBV720914:WCJ720942 WLR720914:WMF720942 WVN720914:WWB720942 F786450:T786478 JB786450:JP786478 SX786450:TL786478 ACT786450:ADH786478 AMP786450:AND786478 AWL786450:AWZ786478 BGH786450:BGV786478 BQD786450:BQR786478 BZZ786450:CAN786478 CJV786450:CKJ786478 CTR786450:CUF786478 DDN786450:DEB786478 DNJ786450:DNX786478 DXF786450:DXT786478 EHB786450:EHP786478 EQX786450:ERL786478 FAT786450:FBH786478 FKP786450:FLD786478 FUL786450:FUZ786478 GEH786450:GEV786478 GOD786450:GOR786478 GXZ786450:GYN786478 HHV786450:HIJ786478 HRR786450:HSF786478 IBN786450:ICB786478 ILJ786450:ILX786478 IVF786450:IVT786478 JFB786450:JFP786478 JOX786450:JPL786478 JYT786450:JZH786478 KIP786450:KJD786478 KSL786450:KSZ786478 LCH786450:LCV786478 LMD786450:LMR786478 LVZ786450:LWN786478 MFV786450:MGJ786478 MPR786450:MQF786478 MZN786450:NAB786478 NJJ786450:NJX786478 NTF786450:NTT786478 ODB786450:ODP786478 OMX786450:ONL786478 OWT786450:OXH786478 PGP786450:PHD786478 PQL786450:PQZ786478 QAH786450:QAV786478 QKD786450:QKR786478 QTZ786450:QUN786478 RDV786450:REJ786478 RNR786450:ROF786478 RXN786450:RYB786478 SHJ786450:SHX786478 SRF786450:SRT786478 TBB786450:TBP786478 TKX786450:TLL786478 TUT786450:TVH786478 UEP786450:UFD786478 UOL786450:UOZ786478 UYH786450:UYV786478 VID786450:VIR786478 VRZ786450:VSN786478 WBV786450:WCJ786478 WLR786450:WMF786478 WVN786450:WWB786478 F851986:T852014 JB851986:JP852014 SX851986:TL852014 ACT851986:ADH852014 AMP851986:AND852014 AWL851986:AWZ852014 BGH851986:BGV852014 BQD851986:BQR852014 BZZ851986:CAN852014 CJV851986:CKJ852014 CTR851986:CUF852014 DDN851986:DEB852014 DNJ851986:DNX852014 DXF851986:DXT852014 EHB851986:EHP852014 EQX851986:ERL852014 FAT851986:FBH852014 FKP851986:FLD852014 FUL851986:FUZ852014 GEH851986:GEV852014 GOD851986:GOR852014 GXZ851986:GYN852014 HHV851986:HIJ852014 HRR851986:HSF852014 IBN851986:ICB852014 ILJ851986:ILX852014 IVF851986:IVT852014 JFB851986:JFP852014 JOX851986:JPL852014 JYT851986:JZH852014 KIP851986:KJD852014 KSL851986:KSZ852014 LCH851986:LCV852014 LMD851986:LMR852014 LVZ851986:LWN852014 MFV851986:MGJ852014 MPR851986:MQF852014 MZN851986:NAB852014 NJJ851986:NJX852014 NTF851986:NTT852014 ODB851986:ODP852014 OMX851986:ONL852014 OWT851986:OXH852014 PGP851986:PHD852014 PQL851986:PQZ852014 QAH851986:QAV852014 QKD851986:QKR852014 QTZ851986:QUN852014 RDV851986:REJ852014 RNR851986:ROF852014 RXN851986:RYB852014 SHJ851986:SHX852014 SRF851986:SRT852014 TBB851986:TBP852014 TKX851986:TLL852014 TUT851986:TVH852014 UEP851986:UFD852014 UOL851986:UOZ852014 UYH851986:UYV852014 VID851986:VIR852014 VRZ851986:VSN852014 WBV851986:WCJ852014 WLR851986:WMF852014 WVN851986:WWB852014 F917522:T917550 JB917522:JP917550 SX917522:TL917550 ACT917522:ADH917550 AMP917522:AND917550 AWL917522:AWZ917550 BGH917522:BGV917550 BQD917522:BQR917550 BZZ917522:CAN917550 CJV917522:CKJ917550 CTR917522:CUF917550 DDN917522:DEB917550 DNJ917522:DNX917550 DXF917522:DXT917550 EHB917522:EHP917550 EQX917522:ERL917550 FAT917522:FBH917550 FKP917522:FLD917550 FUL917522:FUZ917550 GEH917522:GEV917550 GOD917522:GOR917550 GXZ917522:GYN917550 HHV917522:HIJ917550 HRR917522:HSF917550 IBN917522:ICB917550 ILJ917522:ILX917550 IVF917522:IVT917550 JFB917522:JFP917550 JOX917522:JPL917550 JYT917522:JZH917550 KIP917522:KJD917550 KSL917522:KSZ917550 LCH917522:LCV917550 LMD917522:LMR917550 LVZ917522:LWN917550 MFV917522:MGJ917550 MPR917522:MQF917550 MZN917522:NAB917550 NJJ917522:NJX917550 NTF917522:NTT917550 ODB917522:ODP917550 OMX917522:ONL917550 OWT917522:OXH917550 PGP917522:PHD917550 PQL917522:PQZ917550 QAH917522:QAV917550 QKD917522:QKR917550 QTZ917522:QUN917550 RDV917522:REJ917550 RNR917522:ROF917550 RXN917522:RYB917550 SHJ917522:SHX917550 SRF917522:SRT917550 TBB917522:TBP917550 TKX917522:TLL917550 TUT917522:TVH917550 UEP917522:UFD917550 UOL917522:UOZ917550 UYH917522:UYV917550 VID917522:VIR917550 VRZ917522:VSN917550 WBV917522:WCJ917550 WLR917522:WMF917550 WVN917522:WWB917550 F983058:T983086 JB983058:JP983086 SX983058:TL983086 ACT983058:ADH983086 AMP983058:AND983086 AWL983058:AWZ983086 BGH983058:BGV983086 BQD983058:BQR983086 BZZ983058:CAN983086 CJV983058:CKJ983086 CTR983058:CUF983086 DDN983058:DEB983086 DNJ983058:DNX983086 DXF983058:DXT983086 EHB983058:EHP983086 EQX983058:ERL983086 FAT983058:FBH983086 FKP983058:FLD983086 FUL983058:FUZ983086 GEH983058:GEV983086 GOD983058:GOR983086 GXZ983058:GYN983086 HHV983058:HIJ983086 HRR983058:HSF983086 IBN983058:ICB983086 ILJ983058:ILX983086 IVF983058:IVT983086 JFB983058:JFP983086 JOX983058:JPL983086 JYT983058:JZH983086 KIP983058:KJD983086 KSL983058:KSZ983086 LCH983058:LCV983086 LMD983058:LMR983086 LVZ983058:LWN983086 MFV983058:MGJ983086 MPR983058:MQF983086 MZN983058:NAB983086 NJJ983058:NJX983086 NTF983058:NTT983086 ODB983058:ODP983086 OMX983058:ONL983086 OWT983058:OXH983086 PGP983058:PHD983086 PQL983058:PQZ983086 QAH983058:QAV983086 QKD983058:QKR983086 QTZ983058:QUN983086 RDV983058:REJ983086 RNR983058:ROF983086 RXN983058:RYB983086 SHJ983058:SHX983086 SRF983058:SRT983086 TBB983058:TBP983086 TKX983058:TLL983086 TUT983058:TVH983086 UEP983058:UFD983086 UOL983058:UOZ983086 UYH983058:UYV983086 VID983058:VIR983086 VRZ983058:VSN983086 WBV983058:WCJ983086 WLR983058:WMF983086 H41 H31 JB9:JP46 F31:G41 F9:T30 I31:T41 SX9:TL46 ACT9:ADH46 AMP9:AND46 AWL9:AWZ46 BGH9:BGV46 BQD9:BQR46 BZZ9:CAN46 CJV9:CKJ46 CTR9:CUF46 DDN9:DEB46 DNJ9:DNX46 DXF9:DXT46 EHB9:EHP46 EQX9:ERL46 FAT9:FBH46 FKP9:FLD46 FUL9:FUZ46 GEH9:GEV46 GOD9:GOR46 GXZ9:GYN46 HHV9:HIJ46 HRR9:HSF46 IBN9:ICB46 ILJ9:ILX46 IVF9:IVT46 JFB9:JFP46 JOX9:JPL46 JYT9:JZH46 KIP9:KJD46 KSL9:KSZ46 LCH9:LCV46 LMD9:LMR46 LVZ9:LWN46 MFV9:MGJ46 MPR9:MQF46 MZN9:NAB46 NJJ9:NJX46 NTF9:NTT46 ODB9:ODP46 OMX9:ONL46 OWT9:OXH46 PGP9:PHD46 PQL9:PQZ46 QAH9:QAV46 QKD9:QKR46 QTZ9:QUN46 RDV9:REJ46 RNR9:ROF46 RXN9:RYB46 SHJ9:SHX46 SRF9:SRT46 TBB9:TBP46 TKX9:TLL46 TUT9:TVH46 UEP9:UFD46 UOL9:UOZ46 UYH9:UYV46 VID9:VIR46 VRZ9:VSN46 WBV9:WCJ46 WLR9:WMF46 WVN9:WWB46 F42:T46" xr:uid="{00000000-0002-0000-0100-000002000000}">
      <formula1>"O, "</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7"/>
  <sheetViews>
    <sheetView tabSelected="1" topLeftCell="A10" workbookViewId="0">
      <selection activeCell="G15" sqref="G15"/>
    </sheetView>
  </sheetViews>
  <sheetFormatPr defaultColWidth="9" defaultRowHeight="10.5"/>
  <cols>
    <col min="1" max="1" width="8.7109375" style="63" customWidth="1"/>
    <col min="2" max="2" width="23" style="63" customWidth="1"/>
    <col min="3" max="3" width="24.85546875" style="63" bestFit="1" customWidth="1"/>
    <col min="4" max="5" width="37.42578125" style="63" customWidth="1"/>
    <col min="6" max="6" width="8.28515625" style="63" customWidth="1"/>
    <col min="7" max="7" width="13" style="63" customWidth="1"/>
    <col min="8" max="8" width="17.28515625" style="63" customWidth="1"/>
    <col min="9" max="16384" width="9" style="63"/>
  </cols>
  <sheetData>
    <row r="1" spans="1:8" ht="19.5">
      <c r="A1" s="158" t="s">
        <v>37</v>
      </c>
      <c r="B1" s="158"/>
      <c r="C1" s="158"/>
      <c r="D1" s="158"/>
      <c r="E1" s="158"/>
      <c r="F1" s="158"/>
      <c r="G1" s="158"/>
      <c r="H1" s="158"/>
    </row>
    <row r="2" spans="1:8" ht="12.75">
      <c r="A2" s="64"/>
      <c r="B2" s="64"/>
      <c r="C2" s="65"/>
      <c r="D2" s="66" t="str">
        <f>"Pass: "&amp;COUNTIF($F$6:$F$947,"Pass")</f>
        <v>Pass: 0</v>
      </c>
      <c r="E2" s="67" t="str">
        <f>"Untested: "&amp;COUNTIF($F$6:$F$947,"Untest")</f>
        <v>Untested: 10</v>
      </c>
      <c r="F2" s="64"/>
      <c r="G2" s="68"/>
      <c r="H2" s="68"/>
    </row>
    <row r="3" spans="1:8" ht="25.5">
      <c r="A3" s="69" t="s">
        <v>38</v>
      </c>
      <c r="B3" s="102" t="s">
        <v>86</v>
      </c>
      <c r="C3" s="70"/>
      <c r="D3" s="66" t="str">
        <f>"Fail: "&amp;COUNTIF($F$6:$F$947,"Fail")</f>
        <v>Fail: 0</v>
      </c>
      <c r="E3" s="67" t="str">
        <f>"N/A: "&amp;COUNTIF($F$6:$F$947,"N/A")</f>
        <v>N/A: 0</v>
      </c>
      <c r="F3" s="64"/>
      <c r="G3" s="68"/>
      <c r="H3" s="68"/>
    </row>
    <row r="4" spans="1:8" ht="12.75">
      <c r="A4" s="71" t="s">
        <v>39</v>
      </c>
      <c r="B4" s="102" t="s">
        <v>82</v>
      </c>
      <c r="C4" s="71"/>
      <c r="D4" s="72" t="str">
        <f>"Percent Complete: "&amp;ROUND((COUNTIF($F$6:$F$947,"Pass")*100)/((COUNTA($A$6:$A$947)*5)-COUNTIF($F$6:$F$957,"N/A")),2)&amp;"%"</f>
        <v>Percent Complete: 0%</v>
      </c>
      <c r="E4" s="73" t="str">
        <f>"Number of cases: "&amp;(COUNTA($A$6:$A$947))</f>
        <v>Number of cases: 10</v>
      </c>
      <c r="F4" s="64"/>
      <c r="G4" s="68"/>
      <c r="H4" s="68"/>
    </row>
    <row r="5" spans="1:8" ht="31.5">
      <c r="A5" s="74" t="s">
        <v>40</v>
      </c>
      <c r="B5" s="74" t="s">
        <v>41</v>
      </c>
      <c r="C5" s="74" t="s">
        <v>42</v>
      </c>
      <c r="D5" s="74" t="s">
        <v>43</v>
      </c>
      <c r="E5" s="74" t="s">
        <v>44</v>
      </c>
      <c r="F5" s="74" t="s">
        <v>30</v>
      </c>
      <c r="G5" s="74" t="s">
        <v>45</v>
      </c>
      <c r="H5" s="74" t="s">
        <v>46</v>
      </c>
    </row>
    <row r="6" spans="1:8" ht="63">
      <c r="A6" s="99" t="s">
        <v>47</v>
      </c>
      <c r="B6" s="99" t="s">
        <v>87</v>
      </c>
      <c r="C6" s="99" t="s">
        <v>88</v>
      </c>
      <c r="D6" s="100" t="s">
        <v>89</v>
      </c>
      <c r="E6" s="100" t="s">
        <v>90</v>
      </c>
      <c r="F6" s="99" t="s">
        <v>48</v>
      </c>
      <c r="G6" s="101">
        <v>45967</v>
      </c>
      <c r="H6" s="99"/>
    </row>
    <row r="7" spans="1:8" ht="73.5">
      <c r="A7" s="99" t="s">
        <v>91</v>
      </c>
      <c r="B7" s="99" t="s">
        <v>87</v>
      </c>
      <c r="C7" s="99" t="s">
        <v>88</v>
      </c>
      <c r="D7" s="100" t="s">
        <v>93</v>
      </c>
      <c r="E7" s="100" t="s">
        <v>92</v>
      </c>
      <c r="F7" s="99" t="s">
        <v>48</v>
      </c>
      <c r="G7" s="101">
        <v>45967</v>
      </c>
      <c r="H7" s="99"/>
    </row>
    <row r="8" spans="1:8" ht="73.5">
      <c r="A8" s="99" t="s">
        <v>95</v>
      </c>
      <c r="B8" s="99" t="s">
        <v>87</v>
      </c>
      <c r="C8" s="99" t="s">
        <v>88</v>
      </c>
      <c r="D8" s="100" t="s">
        <v>94</v>
      </c>
      <c r="E8" s="100" t="s">
        <v>99</v>
      </c>
      <c r="F8" s="99" t="s">
        <v>48</v>
      </c>
      <c r="G8" s="101">
        <v>45967</v>
      </c>
      <c r="H8" s="99"/>
    </row>
    <row r="9" spans="1:8" ht="84">
      <c r="A9" s="99" t="s">
        <v>96</v>
      </c>
      <c r="B9" s="99" t="s">
        <v>87</v>
      </c>
      <c r="C9" s="99" t="s">
        <v>88</v>
      </c>
      <c r="D9" s="100" t="s">
        <v>98</v>
      </c>
      <c r="E9" s="100" t="s">
        <v>97</v>
      </c>
      <c r="F9" s="99" t="s">
        <v>48</v>
      </c>
      <c r="G9" s="101">
        <v>45967</v>
      </c>
      <c r="H9" s="99"/>
    </row>
    <row r="10" spans="1:8" ht="84">
      <c r="A10" s="99" t="s">
        <v>100</v>
      </c>
      <c r="B10" s="99" t="s">
        <v>87</v>
      </c>
      <c r="C10" s="99" t="s">
        <v>88</v>
      </c>
      <c r="D10" s="100" t="s">
        <v>98</v>
      </c>
      <c r="E10" s="100"/>
      <c r="F10" s="99" t="s">
        <v>48</v>
      </c>
      <c r="G10" s="101">
        <v>45967</v>
      </c>
      <c r="H10" s="99"/>
    </row>
    <row r="11" spans="1:8" ht="84">
      <c r="A11" s="99" t="s">
        <v>101</v>
      </c>
      <c r="B11" s="99" t="s">
        <v>87</v>
      </c>
      <c r="C11" s="99" t="s">
        <v>88</v>
      </c>
      <c r="D11" s="100" t="s">
        <v>98</v>
      </c>
      <c r="E11" s="100"/>
      <c r="F11" s="99" t="s">
        <v>48</v>
      </c>
      <c r="G11" s="101">
        <v>45967</v>
      </c>
      <c r="H11" s="99"/>
    </row>
    <row r="12" spans="1:8" ht="84">
      <c r="A12" s="99" t="s">
        <v>102</v>
      </c>
      <c r="B12" s="99" t="s">
        <v>87</v>
      </c>
      <c r="C12" s="99" t="s">
        <v>88</v>
      </c>
      <c r="D12" s="100" t="s">
        <v>98</v>
      </c>
      <c r="E12" s="100"/>
      <c r="F12" s="99" t="s">
        <v>48</v>
      </c>
      <c r="G12" s="101">
        <v>45967</v>
      </c>
      <c r="H12" s="99"/>
    </row>
    <row r="13" spans="1:8" ht="84">
      <c r="A13" s="99" t="s">
        <v>103</v>
      </c>
      <c r="B13" s="99" t="s">
        <v>87</v>
      </c>
      <c r="C13" s="99" t="s">
        <v>88</v>
      </c>
      <c r="D13" s="100" t="s">
        <v>98</v>
      </c>
      <c r="E13" s="100"/>
      <c r="F13" s="99" t="s">
        <v>48</v>
      </c>
      <c r="G13" s="101">
        <v>45967</v>
      </c>
      <c r="H13" s="99"/>
    </row>
    <row r="14" spans="1:8" ht="84">
      <c r="A14" s="99" t="s">
        <v>104</v>
      </c>
      <c r="B14" s="99" t="s">
        <v>87</v>
      </c>
      <c r="C14" s="99" t="s">
        <v>88</v>
      </c>
      <c r="D14" s="100" t="s">
        <v>98</v>
      </c>
      <c r="E14" s="100"/>
      <c r="F14" s="99" t="s">
        <v>48</v>
      </c>
      <c r="G14" s="101">
        <v>45967</v>
      </c>
      <c r="H14" s="99"/>
    </row>
    <row r="15" spans="1:8" ht="84">
      <c r="A15" s="99" t="s">
        <v>105</v>
      </c>
      <c r="B15" s="99" t="s">
        <v>87</v>
      </c>
      <c r="C15" s="99" t="s">
        <v>88</v>
      </c>
      <c r="D15" s="100" t="s">
        <v>98</v>
      </c>
      <c r="E15" s="100"/>
      <c r="F15" s="99" t="s">
        <v>48</v>
      </c>
      <c r="G15" s="101">
        <v>45967</v>
      </c>
      <c r="H15" s="99"/>
    </row>
    <row r="17" spans="2:3">
      <c r="B17" s="2" t="s">
        <v>4</v>
      </c>
      <c r="C17" s="3" t="s">
        <v>5</v>
      </c>
    </row>
  </sheetData>
  <mergeCells count="1">
    <mergeCell ref="A1:H1"/>
  </mergeCells>
  <dataValidations count="1">
    <dataValidation type="list" operator="equal" allowBlank="1" sqref="F6:F15" xr:uid="{00000000-0002-0000-0200-000000000000}">
      <formula1>"Pass,Fail,Untest,N/A"</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Q1</vt:lpstr>
      <vt:lpstr>Q2</vt:lpstr>
      <vt:lpstr>Q3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2025-11-06T02:03:15Z</dcterms:modified>
</cp:coreProperties>
</file>