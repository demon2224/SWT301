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4725CACD-A6A9-424F-BED4-C75F7A410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1" sheetId="2" r:id="rId1"/>
    <sheet name="Q2" sheetId="3" r:id="rId2"/>
    <sheet name="Q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E3" i="4"/>
  <c r="D3" i="4"/>
  <c r="E2" i="4"/>
  <c r="D2" i="4"/>
  <c r="O6" i="3"/>
  <c r="N6" i="3"/>
  <c r="M6" i="3"/>
  <c r="L6" i="3"/>
  <c r="C6" i="3"/>
  <c r="A6" i="3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<sst xmlns="http://schemas.openxmlformats.org/spreadsheetml/2006/main" count="237" uniqueCount="125">
  <si>
    <t>Issue No</t>
  </si>
  <si>
    <t>Description</t>
  </si>
  <si>
    <t>Line</t>
  </si>
  <si>
    <t>Detail</t>
  </si>
  <si>
    <t>* Notes:</t>
  </si>
  <si>
    <t xml:space="preserve">Blue text is sample, needed to be deleted in the answer </t>
  </si>
  <si>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</si>
  <si>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</si>
  <si>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</si>
  <si>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</si>
  <si>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</si>
  <si>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</si>
  <si>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</si>
  <si>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</si>
  <si>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</si>
  <si>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</si>
  <si>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</si>
  <si>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</si>
  <si>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</si>
  <si>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</si>
  <si>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</si>
  <si>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</si>
  <si>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</si>
  <si>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Input condition</t>
  </si>
  <si>
    <t>ar 1</t>
  </si>
  <si>
    <t>O</t>
  </si>
  <si>
    <t>ar 2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</si>
  <si>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</si>
  <si>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</si>
  <si>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</si>
  <si>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</si>
  <si>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</si>
  <si>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</si>
  <si>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</si>
  <si>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</si>
  <si>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</si>
  <si>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</si>
  <si>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</si>
  <si>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</si>
  <si>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</si>
  <si>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</si>
  <si>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</si>
  <si>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</si>
  <si>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</si>
  <si>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</si>
  <si>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</si>
  <si>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</si>
  <si>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</si>
  <si>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</si>
  <si>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>Name of class is not correct syntax</t>
  </si>
  <si>
    <t>Incorrect name of variable</t>
  </si>
  <si>
    <t xml:space="preserve">class matrixMultiplication </t>
  </si>
  <si>
    <t>int[][] A, int[][]B</t>
  </si>
  <si>
    <t>if (A[0].length = B.length)</t>
  </si>
  <si>
    <t>n = A[0].length; p = B[0].length;</t>
  </si>
  <si>
    <t>Incorrect syntax of operator keyword</t>
  </si>
  <si>
    <t>Incorrect syntax of additional string</t>
  </si>
  <si>
    <t>System.out.print(val &amp;&amp; " ");</t>
  </si>
  <si>
    <t>calculateShippingFee</t>
  </si>
  <si>
    <t>Design the minimum unit test cases that achieve 100% statement coverage and 100% decision coverage for the method calculateShippingFee</t>
  </si>
  <si>
    <t>distance &gt; 0</t>
  </si>
  <si>
    <t xml:space="preserve">size not null </t>
  </si>
  <si>
    <t xml:space="preserve">method not null </t>
  </si>
  <si>
    <t>{abc,10,air}</t>
  </si>
  <si>
    <t>{large,10,abc}</t>
  </si>
  <si>
    <t>{small,1,air}</t>
  </si>
  <si>
    <t>{small,1,road}</t>
  </si>
  <si>
    <t>{small,1,water}</t>
  </si>
  <si>
    <t>{medium,1,air}</t>
  </si>
  <si>
    <t>{medium,1,road}</t>
  </si>
  <si>
    <t>{medium,1,water}</t>
  </si>
  <si>
    <t>{large,1,air}</t>
  </si>
  <si>
    <t>{large,1,road}</t>
  </si>
  <si>
    <t>{large,1,water}</t>
  </si>
  <si>
    <t>{10000}</t>
  </si>
  <si>
    <t>{2000}</t>
  </si>
  <si>
    <t>{1000}</t>
  </si>
  <si>
    <t>{1500}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</si>
  <si>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</si>
  <si>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</si>
  <si>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</si>
  <si>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</si>
  <si>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</si>
  <si>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</si>
  <si>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</si>
  <si>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</si>
  <si>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{"Invalid Koi fish size"}</t>
  </si>
  <si>
    <t>{"Invalid shipping method"}</t>
  </si>
  <si>
    <t>{6000}</t>
  </si>
  <si>
    <t>{3000}</t>
  </si>
  <si>
    <t>{4500}</t>
  </si>
  <si>
    <t>{5000}</t>
  </si>
  <si>
    <t>{7500}</t>
  </si>
  <si>
    <t>P</t>
  </si>
  <si>
    <t>A</t>
  </si>
  <si>
    <t>Calculating Food Amount</t>
  </si>
  <si>
    <t>30/07/2025</t>
  </si>
  <si>
    <t>Total Fish Weight text box is empty.</t>
  </si>
  <si>
    <t>1. Input Total Fish Weight field.
2. Select Temperature.
3. Input Feeding Rate field.</t>
  </si>
  <si>
    <t>Displays the error message "Total Fish Weight (kg) is required"</t>
  </si>
  <si>
    <t>1. Not input Total Fish Weight field.
2. Select Temperature.
3. Input Feeding Rate field.</t>
  </si>
  <si>
    <t>TC002</t>
  </si>
  <si>
    <t>Total Fish Weight text box is not valid.</t>
  </si>
  <si>
    <t>1. Input Total Fish Weight field is -1.
2. Select Temperature.
3. Input Feeding Rate field.</t>
  </si>
  <si>
    <t>Displays the error message "Total Fish Weight (kg) is number &gt; 0"</t>
  </si>
  <si>
    <t>TC003</t>
  </si>
  <si>
    <t>Test Water Temperature is 10C - 15C and Feeding Rate is 0.4.</t>
  </si>
  <si>
    <t>Displays the error message "Daily food amount is not enough for fish"</t>
  </si>
  <si>
    <t>TC004</t>
  </si>
  <si>
    <t>Test Water Temperature is 10C - 15C and Feeding Rate is 1.1.</t>
  </si>
  <si>
    <t>Displays the error message "Excess amount of food given to fish daily"</t>
  </si>
  <si>
    <t>TC005</t>
  </si>
  <si>
    <t>Test Water Temperature is 15C - 20C and Feeding Rate is 0.9.</t>
  </si>
  <si>
    <t>TC006</t>
  </si>
  <si>
    <t>Test Water Temperature is 15C - 20C and Feeding Rate is 2.1.</t>
  </si>
  <si>
    <t>TC007</t>
  </si>
  <si>
    <t>Test Water Temperature is 20C - 25C and Feeding Rate is 1.9.</t>
  </si>
  <si>
    <t>Pass</t>
  </si>
  <si>
    <t>TC008</t>
  </si>
  <si>
    <t>Test Water Temperature is 25C - 30C and Feeding Rate is 1.9.</t>
  </si>
  <si>
    <t>TC009</t>
  </si>
  <si>
    <t>Test Water Temperature is 20C - 25C and Feeding Rate is 3.1.</t>
  </si>
  <si>
    <t>Test Water Temperature is 25C - 30C and Feeding Rate is 5.1.</t>
  </si>
  <si>
    <t>Variables have been not declared data type yet</t>
  </si>
  <si>
    <t xml:space="preserve">Class is not declared that is public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</si>
</sst>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i/>
      <sz val="8"/>
      <color theme="4"/>
      <name val="Tahoma"/>
      <family val="2"/>
    </font>
    <font>
      <sz val="8"/>
      <color theme="4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rgb="FF0070C0"/>
      <name val="Tahoma"/>
      <family val="2"/>
    </font>
    <font>
      <b/>
      <sz val="8"/>
      <color indexed="8"/>
      <name val="Times New Roman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/>
  </cellStyleXfs>
  <cellXfs count="17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4" fillId="0" borderId="0" xfId="1" applyFont="1"/>
    <xf numFmtId="0" fontId="7" fillId="0" borderId="0" xfId="1" applyFont="1"/>
    <xf numFmtId="0" fontId="7" fillId="0" borderId="0" xfId="1" applyFont="1" applyAlignment="1">
      <alignment horizontal="center"/>
    </xf>
    <xf numFmtId="0" fontId="8" fillId="4" borderId="18" xfId="2" applyFont="1" applyFill="1" applyBorder="1" applyAlignment="1">
      <alignment horizontal="left" wrapText="1"/>
    </xf>
    <xf numFmtId="0" fontId="7" fillId="3" borderId="30" xfId="1" applyFont="1" applyFill="1" applyBorder="1" applyAlignment="1">
      <alignment horizontal="center" vertical="center"/>
    </xf>
    <xf numFmtId="0" fontId="7" fillId="0" borderId="32" xfId="1" applyFont="1" applyBorder="1"/>
    <xf numFmtId="0" fontId="3" fillId="0" borderId="0" xfId="1" applyFont="1" applyAlignment="1">
      <alignment horizontal="left"/>
    </xf>
    <xf numFmtId="0" fontId="7" fillId="0" borderId="0" xfId="1" applyFont="1" applyAlignment="1">
      <alignment horizontal="right"/>
    </xf>
    <xf numFmtId="0" fontId="10" fillId="2" borderId="34" xfId="1" applyFont="1" applyFill="1" applyBorder="1"/>
    <xf numFmtId="0" fontId="11" fillId="2" borderId="35" xfId="1" applyFont="1" applyFill="1" applyBorder="1" applyAlignment="1">
      <alignment vertical="top" textRotation="180"/>
    </xf>
    <xf numFmtId="0" fontId="12" fillId="2" borderId="35" xfId="1" applyFont="1" applyFill="1" applyBorder="1" applyAlignment="1">
      <alignment vertical="top" textRotation="180"/>
    </xf>
    <xf numFmtId="0" fontId="12" fillId="2" borderId="36" xfId="1" applyFont="1" applyFill="1" applyBorder="1" applyAlignment="1">
      <alignment vertical="top" textRotation="180"/>
    </xf>
    <xf numFmtId="49" fontId="7" fillId="0" borderId="0" xfId="1" applyNumberFormat="1" applyFont="1" applyAlignment="1">
      <alignment horizontal="center"/>
    </xf>
    <xf numFmtId="0" fontId="11" fillId="2" borderId="37" xfId="1" applyFont="1" applyFill="1" applyBorder="1" applyAlignment="1">
      <alignment vertical="center"/>
    </xf>
    <xf numFmtId="0" fontId="3" fillId="6" borderId="38" xfId="1" applyFont="1" applyFill="1" applyBorder="1" applyAlignment="1">
      <alignment horizontal="left" vertical="top"/>
    </xf>
    <xf numFmtId="0" fontId="7" fillId="6" borderId="3" xfId="1" applyFont="1" applyFill="1" applyBorder="1" applyAlignment="1">
      <alignment horizontal="center" vertical="top"/>
    </xf>
    <xf numFmtId="0" fontId="7" fillId="6" borderId="5" xfId="1" applyFont="1" applyFill="1" applyBorder="1" applyAlignment="1">
      <alignment horizontal="right" vertical="top"/>
    </xf>
    <xf numFmtId="0" fontId="13" fillId="0" borderId="40" xfId="1" applyFont="1" applyBorder="1" applyAlignment="1">
      <alignment horizontal="center"/>
    </xf>
    <xf numFmtId="0" fontId="13" fillId="0" borderId="41" xfId="1" applyFont="1" applyBorder="1" applyAlignment="1">
      <alignment horizontal="center"/>
    </xf>
    <xf numFmtId="0" fontId="11" fillId="2" borderId="42" xfId="1" applyFont="1" applyFill="1" applyBorder="1" applyAlignment="1">
      <alignment vertical="center"/>
    </xf>
    <xf numFmtId="0" fontId="3" fillId="6" borderId="15" xfId="1" applyFont="1" applyFill="1" applyBorder="1" applyAlignment="1">
      <alignment horizontal="left" vertical="top"/>
    </xf>
    <xf numFmtId="0" fontId="7" fillId="6" borderId="15" xfId="1" applyFont="1" applyFill="1" applyBorder="1" applyAlignment="1">
      <alignment horizontal="center" vertical="top"/>
    </xf>
    <xf numFmtId="0" fontId="6" fillId="6" borderId="16" xfId="1" applyFont="1" applyFill="1" applyBorder="1" applyAlignment="1">
      <alignment horizontal="right" vertical="top"/>
    </xf>
    <xf numFmtId="0" fontId="13" fillId="0" borderId="1" xfId="1" applyFont="1" applyBorder="1" applyAlignment="1">
      <alignment horizontal="center"/>
    </xf>
    <xf numFmtId="0" fontId="13" fillId="0" borderId="44" xfId="1" applyFont="1" applyBorder="1" applyAlignment="1">
      <alignment horizontal="center"/>
    </xf>
    <xf numFmtId="0" fontId="6" fillId="0" borderId="43" xfId="1" applyFont="1" applyBorder="1" applyAlignment="1">
      <alignment vertical="top"/>
    </xf>
    <xf numFmtId="0" fontId="3" fillId="0" borderId="0" xfId="1" applyFont="1" applyAlignment="1">
      <alignment horizontal="center"/>
    </xf>
    <xf numFmtId="0" fontId="6" fillId="6" borderId="45" xfId="1" applyFont="1" applyFill="1" applyBorder="1" applyAlignment="1">
      <alignment horizontal="right" vertical="top"/>
    </xf>
    <xf numFmtId="0" fontId="7" fillId="6" borderId="16" xfId="1" applyFont="1" applyFill="1" applyBorder="1" applyAlignment="1">
      <alignment horizontal="right" vertical="top"/>
    </xf>
    <xf numFmtId="0" fontId="3" fillId="6" borderId="46" xfId="1" applyFont="1" applyFill="1" applyBorder="1" applyAlignment="1">
      <alignment horizontal="left" vertical="top"/>
    </xf>
    <xf numFmtId="0" fontId="11" fillId="2" borderId="47" xfId="1" applyFont="1" applyFill="1" applyBorder="1" applyAlignment="1">
      <alignment vertical="center"/>
    </xf>
    <xf numFmtId="0" fontId="3" fillId="6" borderId="48" xfId="1" applyFont="1" applyFill="1" applyBorder="1" applyAlignment="1">
      <alignment horizontal="left" vertical="top"/>
    </xf>
    <xf numFmtId="0" fontId="7" fillId="6" borderId="49" xfId="1" applyFont="1" applyFill="1" applyBorder="1" applyAlignment="1">
      <alignment horizontal="center" vertical="top"/>
    </xf>
    <xf numFmtId="0" fontId="7" fillId="6" borderId="50" xfId="1" applyFont="1" applyFill="1" applyBorder="1" applyAlignment="1">
      <alignment horizontal="right" vertical="top"/>
    </xf>
    <xf numFmtId="0" fontId="13" fillId="0" borderId="51" xfId="1" applyFont="1" applyBorder="1" applyAlignment="1">
      <alignment horizontal="center"/>
    </xf>
    <xf numFmtId="0" fontId="13" fillId="0" borderId="52" xfId="1" applyFont="1" applyBorder="1" applyAlignment="1">
      <alignment horizontal="center"/>
    </xf>
    <xf numFmtId="0" fontId="11" fillId="2" borderId="37" xfId="1" applyFont="1" applyFill="1" applyBorder="1" applyAlignment="1">
      <alignment vertical="top"/>
    </xf>
    <xf numFmtId="0" fontId="3" fillId="6" borderId="53" xfId="1" applyFont="1" applyFill="1" applyBorder="1"/>
    <xf numFmtId="0" fontId="3" fillId="6" borderId="3" xfId="1" applyFont="1" applyFill="1" applyBorder="1"/>
    <xf numFmtId="0" fontId="7" fillId="6" borderId="5" xfId="1" applyFont="1" applyFill="1" applyBorder="1" applyAlignment="1">
      <alignment horizontal="right"/>
    </xf>
    <xf numFmtId="0" fontId="13" fillId="0" borderId="54" xfId="1" applyFont="1" applyBorder="1" applyAlignment="1">
      <alignment horizontal="center"/>
    </xf>
    <xf numFmtId="0" fontId="13" fillId="0" borderId="55" xfId="1" applyFont="1" applyBorder="1" applyAlignment="1">
      <alignment horizontal="center"/>
    </xf>
    <xf numFmtId="0" fontId="11" fillId="2" borderId="42" xfId="1" applyFont="1" applyFill="1" applyBorder="1" applyAlignment="1">
      <alignment vertical="top"/>
    </xf>
    <xf numFmtId="0" fontId="3" fillId="6" borderId="46" xfId="1" applyFont="1" applyFill="1" applyBorder="1"/>
    <xf numFmtId="0" fontId="7" fillId="6" borderId="15" xfId="1" applyFont="1" applyFill="1" applyBorder="1"/>
    <xf numFmtId="0" fontId="6" fillId="6" borderId="16" xfId="1" applyFont="1" applyFill="1" applyBorder="1" applyAlignment="1">
      <alignment horizontal="right"/>
    </xf>
    <xf numFmtId="0" fontId="14" fillId="6" borderId="15" xfId="1" applyFont="1" applyFill="1" applyBorder="1"/>
    <xf numFmtId="0" fontId="7" fillId="6" borderId="16" xfId="1" applyFont="1" applyFill="1" applyBorder="1" applyAlignment="1">
      <alignment horizontal="right"/>
    </xf>
    <xf numFmtId="0" fontId="11" fillId="2" borderId="47" xfId="1" applyFont="1" applyFill="1" applyBorder="1" applyAlignment="1">
      <alignment vertical="top"/>
    </xf>
    <xf numFmtId="0" fontId="3" fillId="6" borderId="56" xfId="1" applyFont="1" applyFill="1" applyBorder="1"/>
    <xf numFmtId="0" fontId="7" fillId="6" borderId="57" xfId="1" applyFont="1" applyFill="1" applyBorder="1"/>
    <xf numFmtId="0" fontId="6" fillId="6" borderId="58" xfId="1" applyFont="1" applyFill="1" applyBorder="1" applyAlignment="1">
      <alignment horizontal="right"/>
    </xf>
    <xf numFmtId="0" fontId="13" fillId="0" borderId="59" xfId="1" applyFont="1" applyBorder="1" applyAlignment="1">
      <alignment horizontal="center"/>
    </xf>
    <xf numFmtId="0" fontId="13" fillId="0" borderId="60" xfId="1" applyFont="1" applyBorder="1" applyAlignment="1">
      <alignment horizontal="center"/>
    </xf>
    <xf numFmtId="0" fontId="7" fillId="0" borderId="40" xfId="1" applyFont="1" applyBorder="1" applyAlignment="1">
      <alignment horizontal="left"/>
    </xf>
    <xf numFmtId="0" fontId="7" fillId="0" borderId="40" xfId="1" applyFont="1" applyBorder="1" applyAlignment="1">
      <alignment horizontal="center"/>
    </xf>
    <xf numFmtId="0" fontId="7" fillId="0" borderId="41" xfId="1" applyFont="1" applyBorder="1" applyAlignment="1">
      <alignment horizontal="center"/>
    </xf>
    <xf numFmtId="0" fontId="15" fillId="0" borderId="1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7" fillId="0" borderId="1" xfId="1" applyFont="1" applyBorder="1"/>
    <xf numFmtId="165" fontId="7" fillId="0" borderId="1" xfId="1" applyNumberFormat="1" applyFont="1" applyBorder="1" applyAlignment="1">
      <alignment vertical="top" textRotation="255"/>
    </xf>
    <xf numFmtId="165" fontId="7" fillId="0" borderId="44" xfId="1" applyNumberFormat="1" applyFont="1" applyBorder="1" applyAlignment="1">
      <alignment vertical="top" textRotation="255"/>
    </xf>
    <xf numFmtId="0" fontId="7" fillId="0" borderId="59" xfId="1" applyFont="1" applyBorder="1"/>
    <xf numFmtId="0" fontId="7" fillId="0" borderId="59" xfId="1" applyFont="1" applyBorder="1" applyAlignment="1">
      <alignment textRotation="255"/>
    </xf>
    <xf numFmtId="0" fontId="7" fillId="0" borderId="60" xfId="1" applyFont="1" applyBorder="1" applyAlignment="1">
      <alignment textRotation="255"/>
    </xf>
    <xf numFmtId="0" fontId="12" fillId="0" borderId="0" xfId="1" applyFont="1" applyAlignment="1">
      <alignment vertical="top"/>
    </xf>
    <xf numFmtId="0" fontId="7" fillId="2" borderId="0" xfId="1" applyFont="1" applyFill="1"/>
    <xf numFmtId="0" fontId="3" fillId="2" borderId="0" xfId="1" applyFont="1" applyFill="1" applyAlignment="1">
      <alignment horizontal="left"/>
    </xf>
    <xf numFmtId="0" fontId="7" fillId="0" borderId="0" xfId="0" applyFont="1"/>
    <xf numFmtId="0" fontId="20" fillId="0" borderId="0" xfId="0" applyFont="1"/>
    <xf numFmtId="0" fontId="22" fillId="0" borderId="61" xfId="3" applyFont="1" applyFill="1" applyBorder="1" applyAlignment="1">
      <alignment horizontal="left" vertical="top" wrapText="1"/>
    </xf>
    <xf numFmtId="0" fontId="23" fillId="0" borderId="61" xfId="0" applyFont="1" applyBorder="1" applyAlignment="1">
      <alignment horizontal="left" vertical="top" wrapText="1"/>
    </xf>
    <xf numFmtId="0" fontId="23" fillId="0" borderId="61" xfId="0" applyFont="1" applyBorder="1" applyAlignment="1">
      <alignment vertical="top" wrapText="1"/>
    </xf>
    <xf numFmtId="0" fontId="23" fillId="0" borderId="0" xfId="0" applyFont="1"/>
    <xf numFmtId="0" fontId="24" fillId="0" borderId="61" xfId="2" applyFont="1" applyBorder="1" applyAlignment="1">
      <alignment horizontal="left" vertical="top" wrapText="1"/>
    </xf>
    <xf numFmtId="0" fontId="23" fillId="0" borderId="61" xfId="2" applyFont="1" applyBorder="1" applyAlignment="1">
      <alignment horizontal="left" vertical="top" wrapText="1"/>
    </xf>
    <xf numFmtId="0" fontId="24" fillId="0" borderId="62" xfId="2" applyFont="1" applyBorder="1" applyAlignment="1">
      <alignment horizontal="left" vertical="top" wrapText="1"/>
    </xf>
    <xf numFmtId="0" fontId="23" fillId="0" borderId="62" xfId="0" applyFont="1" applyBorder="1" applyAlignment="1">
      <alignment horizontal="left" vertical="top" wrapText="1"/>
    </xf>
    <xf numFmtId="2" fontId="23" fillId="0" borderId="62" xfId="0" applyNumberFormat="1" applyFont="1" applyBorder="1" applyAlignment="1">
      <alignment vertical="top" wrapText="1"/>
    </xf>
    <xf numFmtId="0" fontId="3" fillId="5" borderId="1" xfId="2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 wrapText="1"/>
    </xf>
    <xf numFmtId="16" fontId="7" fillId="8" borderId="1" xfId="0" applyNumberFormat="1" applyFont="1" applyFill="1" applyBorder="1" applyAlignment="1">
      <alignment horizontal="left" vertical="top"/>
    </xf>
    <xf numFmtId="0" fontId="8" fillId="9" borderId="39" xfId="1" applyFont="1" applyFill="1" applyBorder="1" applyAlignment="1">
      <alignment horizontal="right"/>
    </xf>
    <xf numFmtId="0" fontId="5" fillId="9" borderId="43" xfId="1" applyFont="1" applyFill="1" applyBorder="1" applyAlignment="1">
      <alignment horizontal="right"/>
    </xf>
    <xf numFmtId="0" fontId="6" fillId="9" borderId="43" xfId="1" applyFont="1" applyFill="1" applyBorder="1" applyAlignment="1">
      <alignment horizontal="right"/>
    </xf>
    <xf numFmtId="0" fontId="7" fillId="9" borderId="43" xfId="1" applyFont="1" applyFill="1" applyBorder="1" applyAlignment="1">
      <alignment horizontal="right"/>
    </xf>
    <xf numFmtId="0" fontId="7" fillId="9" borderId="54" xfId="1" applyFont="1" applyFill="1" applyBorder="1" applyAlignment="1">
      <alignment horizontal="left"/>
    </xf>
    <xf numFmtId="0" fontId="7" fillId="9" borderId="1" xfId="1" applyFont="1" applyFill="1" applyBorder="1" applyAlignment="1">
      <alignment horizontal="left"/>
    </xf>
    <xf numFmtId="0" fontId="7" fillId="9" borderId="1" xfId="1" applyFont="1" applyFill="1" applyBorder="1"/>
    <xf numFmtId="0" fontId="7" fillId="9" borderId="59" xfId="1" applyFont="1" applyFill="1" applyBorder="1" applyAlignment="1">
      <alignment horizontal="left"/>
    </xf>
    <xf numFmtId="0" fontId="27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right" vertical="top" wrapText="1"/>
    </xf>
    <xf numFmtId="0" fontId="27" fillId="0" borderId="1" xfId="0" applyFont="1" applyBorder="1" applyAlignment="1">
      <alignment vertical="top"/>
    </xf>
    <xf numFmtId="0" fontId="27" fillId="0" borderId="1" xfId="0" applyFont="1" applyBorder="1" applyAlignment="1">
      <alignment horizontal="right" vertical="top"/>
    </xf>
    <xf numFmtId="0" fontId="8" fillId="9" borderId="43" xfId="1" applyFont="1" applyFill="1" applyBorder="1" applyAlignment="1">
      <alignment horizontal="right"/>
    </xf>
    <xf numFmtId="0" fontId="13" fillId="0" borderId="0" xfId="1" applyFont="1" applyAlignment="1">
      <alignment horizontal="center"/>
    </xf>
    <xf numFmtId="0" fontId="23" fillId="0" borderId="62" xfId="2" applyFont="1" applyBorder="1" applyAlignment="1">
      <alignment horizontal="left" vertical="top" wrapText="1"/>
    </xf>
    <xf numFmtId="0" fontId="7" fillId="7" borderId="1" xfId="2" applyFont="1" applyFill="1" applyBorder="1" applyAlignment="1">
      <alignment horizontal="left" vertical="top" wrapText="1"/>
    </xf>
    <xf numFmtId="0" fontId="7" fillId="0" borderId="45" xfId="1" applyFont="1" applyBorder="1" applyAlignment="1">
      <alignment horizontal="left"/>
    </xf>
    <xf numFmtId="0" fontId="7" fillId="0" borderId="40" xfId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6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/>
    </xf>
    <xf numFmtId="0" fontId="7" fillId="0" borderId="58" xfId="1" applyFont="1" applyBorder="1" applyAlignment="1">
      <alignment horizontal="left" vertical="top"/>
    </xf>
    <xf numFmtId="0" fontId="7" fillId="0" borderId="59" xfId="1" applyFont="1" applyBorder="1" applyAlignment="1">
      <alignment horizontal="left" vertical="top"/>
    </xf>
    <xf numFmtId="164" fontId="9" fillId="5" borderId="33" xfId="1" applyNumberFormat="1" applyFont="1" applyFill="1" applyBorder="1" applyAlignment="1">
      <alignment horizontal="center" vertical="center"/>
    </xf>
    <xf numFmtId="164" fontId="9" fillId="5" borderId="34" xfId="1" applyNumberFormat="1" applyFont="1" applyFill="1" applyBorder="1" applyAlignment="1">
      <alignment horizontal="center" vertical="center"/>
    </xf>
    <xf numFmtId="0" fontId="7" fillId="0" borderId="38" xfId="1" applyFont="1" applyBorder="1" applyAlignment="1">
      <alignment horizontal="right"/>
    </xf>
    <xf numFmtId="0" fontId="7" fillId="0" borderId="45" xfId="1" applyFont="1" applyBorder="1" applyAlignment="1">
      <alignment horizontal="right"/>
    </xf>
    <xf numFmtId="0" fontId="6" fillId="0" borderId="38" xfId="1" applyFont="1" applyBorder="1" applyAlignment="1">
      <alignment horizontal="right"/>
    </xf>
    <xf numFmtId="0" fontId="6" fillId="0" borderId="45" xfId="1" applyFont="1" applyBorder="1" applyAlignment="1">
      <alignment horizontal="right"/>
    </xf>
    <xf numFmtId="0" fontId="7" fillId="6" borderId="46" xfId="1" applyFont="1" applyFill="1" applyBorder="1" applyAlignment="1">
      <alignment horizontal="center" vertical="top"/>
    </xf>
    <xf numFmtId="0" fontId="7" fillId="6" borderId="15" xfId="1" applyFont="1" applyFill="1" applyBorder="1" applyAlignment="1">
      <alignment horizontal="center" vertical="top"/>
    </xf>
    <xf numFmtId="0" fontId="7" fillId="6" borderId="16" xfId="1" applyFont="1" applyFill="1" applyBorder="1" applyAlignment="1">
      <alignment horizontal="center" vertical="top"/>
    </xf>
    <xf numFmtId="0" fontId="3" fillId="6" borderId="46" xfId="1" applyFont="1" applyFill="1" applyBorder="1" applyAlignment="1">
      <alignment horizontal="center" vertical="top"/>
    </xf>
    <xf numFmtId="0" fontId="3" fillId="6" borderId="15" xfId="1" applyFont="1" applyFill="1" applyBorder="1" applyAlignment="1">
      <alignment horizontal="center" vertical="top"/>
    </xf>
    <xf numFmtId="0" fontId="3" fillId="6" borderId="16" xfId="1" applyFont="1" applyFill="1" applyBorder="1" applyAlignment="1">
      <alignment horizontal="center" vertical="top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31" xfId="1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left" wrapText="1"/>
    </xf>
    <xf numFmtId="0" fontId="3" fillId="3" borderId="10" xfId="2" applyFont="1" applyFill="1" applyBorder="1" applyAlignment="1">
      <alignment horizontal="left" wrapText="1"/>
    </xf>
    <xf numFmtId="0" fontId="8" fillId="4" borderId="17" xfId="2" applyFont="1" applyFill="1" applyBorder="1" applyAlignment="1">
      <alignment horizontal="center" wrapText="1"/>
    </xf>
    <xf numFmtId="0" fontId="8" fillId="4" borderId="18" xfId="2" applyFont="1" applyFill="1" applyBorder="1" applyAlignment="1">
      <alignment horizontal="center" wrapText="1"/>
    </xf>
    <xf numFmtId="0" fontId="3" fillId="3" borderId="14" xfId="2" applyFont="1" applyFill="1" applyBorder="1" applyAlignment="1">
      <alignment horizontal="left" wrapText="1"/>
    </xf>
    <xf numFmtId="0" fontId="3" fillId="3" borderId="15" xfId="2" applyFont="1" applyFill="1" applyBorder="1" applyAlignment="1">
      <alignment horizontal="left" wrapText="1"/>
    </xf>
    <xf numFmtId="0" fontId="3" fillId="3" borderId="16" xfId="2" applyFont="1" applyFill="1" applyBorder="1" applyAlignment="1">
      <alignment horizontal="left" wrapText="1"/>
    </xf>
    <xf numFmtId="0" fontId="7" fillId="3" borderId="19" xfId="2" applyFont="1" applyFill="1" applyBorder="1" applyAlignment="1">
      <alignment horizontal="center" wrapText="1"/>
    </xf>
    <xf numFmtId="0" fontId="7" fillId="3" borderId="18" xfId="2" applyFont="1" applyFill="1" applyBorder="1" applyAlignment="1">
      <alignment horizontal="center" wrapText="1"/>
    </xf>
    <xf numFmtId="0" fontId="7" fillId="3" borderId="20" xfId="2" applyFont="1" applyFill="1" applyBorder="1" applyAlignment="1">
      <alignment horizontal="center" wrapText="1"/>
    </xf>
    <xf numFmtId="0" fontId="8" fillId="4" borderId="21" xfId="2" applyFont="1" applyFill="1" applyBorder="1" applyAlignment="1">
      <alignment horizontal="left" wrapText="1"/>
    </xf>
    <xf numFmtId="0" fontId="5" fillId="4" borderId="21" xfId="2" applyFont="1" applyFill="1" applyBorder="1" applyAlignment="1">
      <alignment horizontal="left" wrapText="1"/>
    </xf>
    <xf numFmtId="0" fontId="5" fillId="4" borderId="22" xfId="2" applyFont="1" applyFill="1" applyBorder="1" applyAlignment="1">
      <alignment horizontal="left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23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left" wrapText="1"/>
    </xf>
    <xf numFmtId="0" fontId="3" fillId="3" borderId="3" xfId="2" applyFont="1" applyFill="1" applyBorder="1" applyAlignment="1">
      <alignment horizontal="left" wrapText="1"/>
    </xf>
    <xf numFmtId="49" fontId="8" fillId="4" borderId="4" xfId="2" applyNumberFormat="1" applyFont="1" applyFill="1" applyBorder="1" applyAlignment="1">
      <alignment horizontal="left" wrapText="1"/>
    </xf>
    <xf numFmtId="0" fontId="8" fillId="4" borderId="3" xfId="2" applyFont="1" applyFill="1" applyBorder="1" applyAlignment="1">
      <alignment horizontal="left" wrapText="1"/>
    </xf>
    <xf numFmtId="0" fontId="8" fillId="4" borderId="5" xfId="2" applyFont="1" applyFill="1" applyBorder="1" applyAlignment="1">
      <alignment horizontal="left" wrapText="1"/>
    </xf>
    <xf numFmtId="0" fontId="3" fillId="3" borderId="6" xfId="2" applyFont="1" applyFill="1" applyBorder="1" applyAlignment="1">
      <alignment horizontal="left" wrapText="1"/>
    </xf>
    <xf numFmtId="0" fontId="3" fillId="3" borderId="7" xfId="2" applyFont="1" applyFill="1" applyBorder="1" applyAlignment="1">
      <alignment horizontal="left" wrapText="1"/>
    </xf>
    <xf numFmtId="49" fontId="7" fillId="4" borderId="4" xfId="2" applyNumberFormat="1" applyFont="1" applyFill="1" applyBorder="1" applyAlignment="1">
      <alignment horizontal="center" wrapText="1"/>
    </xf>
    <xf numFmtId="0" fontId="7" fillId="4" borderId="3" xfId="2" applyFont="1" applyFill="1" applyBorder="1" applyAlignment="1">
      <alignment horizontal="center" wrapText="1"/>
    </xf>
    <xf numFmtId="0" fontId="7" fillId="4" borderId="8" xfId="2" applyFont="1" applyFill="1" applyBorder="1" applyAlignment="1">
      <alignment horizontal="center" wrapText="1"/>
    </xf>
    <xf numFmtId="0" fontId="8" fillId="4" borderId="11" xfId="2" applyFont="1" applyFill="1" applyBorder="1" applyAlignment="1">
      <alignment horizontal="left" wrapText="1"/>
    </xf>
    <xf numFmtId="0" fontId="8" fillId="4" borderId="12" xfId="2" applyFont="1" applyFill="1" applyBorder="1" applyAlignment="1">
      <alignment horizontal="left" wrapText="1"/>
    </xf>
    <xf numFmtId="0" fontId="8" fillId="4" borderId="13" xfId="2" applyFont="1" applyFill="1" applyBorder="1" applyAlignment="1">
      <alignment horizontal="left" wrapText="1"/>
    </xf>
    <xf numFmtId="0" fontId="8" fillId="4" borderId="63" xfId="2" applyFont="1" applyFill="1" applyBorder="1" applyAlignment="1">
      <alignment horizontal="center" wrapText="1"/>
    </xf>
    <xf numFmtId="0" fontId="8" fillId="4" borderId="64" xfId="2" applyFont="1" applyFill="1" applyBorder="1" applyAlignment="1">
      <alignment horizontal="center" wrapText="1"/>
    </xf>
    <xf numFmtId="0" fontId="8" fillId="4" borderId="65" xfId="2" applyFont="1" applyFill="1" applyBorder="1" applyAlignment="1">
      <alignment horizontal="center" wrapText="1"/>
    </xf>
    <xf numFmtId="0" fontId="19" fillId="0" borderId="0" xfId="2" applyFont="1" applyAlignment="1">
      <alignment horizontal="center" vertical="top" wrapText="1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7" sqref="B7"/>
    </sheetView>
  </sheetViews>
  <sheetFormatPr defaultRowHeight="14.4"/>
  <cols>
    <col min="1" max="1" width="8" bestFit="1" customWidth="1"/>
    <col min="2" max="2" width="43.21875" customWidth="1"/>
    <col min="3" max="3" width="4.33203125" bestFit="1" customWidth="1"/>
    <col min="4" max="4" width="36.2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96">
        <v>1</v>
      </c>
      <c r="B2" s="97" t="s">
        <v>49</v>
      </c>
      <c r="C2" s="98">
        <v>1</v>
      </c>
      <c r="D2" s="99" t="s">
        <v>51</v>
      </c>
    </row>
    <row r="3" spans="1:4">
      <c r="A3" s="96">
        <v>2</v>
      </c>
      <c r="B3" s="97" t="s">
        <v>50</v>
      </c>
      <c r="C3" s="98">
        <v>2</v>
      </c>
      <c r="D3" s="99" t="s">
        <v>52</v>
      </c>
    </row>
    <row r="4" spans="1:4">
      <c r="A4" s="96">
        <v>3</v>
      </c>
      <c r="B4" s="97" t="s">
        <v>55</v>
      </c>
      <c r="C4" s="98">
        <v>4</v>
      </c>
      <c r="D4" s="99" t="s">
        <v>53</v>
      </c>
    </row>
    <row r="5" spans="1:4">
      <c r="A5" s="96">
        <v>4</v>
      </c>
      <c r="B5" s="99" t="s">
        <v>123</v>
      </c>
      <c r="C5" s="100">
        <v>3</v>
      </c>
      <c r="D5" s="99" t="s">
        <v>54</v>
      </c>
    </row>
    <row r="6" spans="1:4">
      <c r="A6" s="96">
        <v>5</v>
      </c>
      <c r="B6" s="99" t="s">
        <v>124</v>
      </c>
      <c r="C6" s="100">
        <v>1</v>
      </c>
      <c r="D6" s="97" t="s">
        <v>51</v>
      </c>
    </row>
    <row r="7" spans="1:4">
      <c r="A7" s="96">
        <v>6</v>
      </c>
      <c r="B7" s="99" t="s">
        <v>56</v>
      </c>
      <c r="C7" s="100">
        <v>22</v>
      </c>
      <c r="D7" s="97" t="s">
        <v>57</v>
      </c>
    </row>
    <row r="9" spans="1:4">
      <c r="A9" s="2" t="s">
        <v>4</v>
      </c>
      <c r="B9" s="3" t="s">
        <v>5</v>
      </c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7"/>
  <sheetViews>
    <sheetView workbookViewId="0">
      <selection activeCell="L2" sqref="L2:T2"/>
    </sheetView>
  </sheetViews>
  <sheetFormatPr defaultColWidth="9" defaultRowHeight="10.199999999999999"/>
  <cols>
    <col min="1" max="1" width="8.109375" style="4" customWidth="1"/>
    <col min="2" max="2" width="13.33203125" style="9" customWidth="1"/>
    <col min="3" max="3" width="10.77734375" style="4" customWidth="1"/>
    <col min="4" max="4" width="11.33203125" style="10" customWidth="1"/>
    <col min="5" max="5" width="1.77734375" style="4" hidden="1" customWidth="1"/>
    <col min="6" max="7" width="2.88671875" style="4" bestFit="1" customWidth="1"/>
    <col min="8" max="8" width="2.88671875" style="4" customWidth="1"/>
    <col min="9" max="10" width="2.88671875" style="4" bestFit="1" customWidth="1"/>
    <col min="11" max="19" width="2.88671875" style="4" customWidth="1"/>
    <col min="20" max="20" width="2.88671875" style="4" bestFit="1" customWidth="1"/>
    <col min="21" max="21" width="2.88671875" style="4" customWidth="1"/>
    <col min="22" max="22" width="9" style="5"/>
    <col min="23" max="23" width="24.21875" style="4" bestFit="1" customWidth="1"/>
    <col min="24" max="24" width="9" style="4"/>
    <col min="25" max="25" width="15.109375" style="4" bestFit="1" customWidth="1"/>
    <col min="26" max="256" width="9" style="4"/>
    <col min="257" max="257" width="8.109375" style="4" customWidth="1"/>
    <col min="258" max="258" width="13.33203125" style="4" customWidth="1"/>
    <col min="259" max="259" width="10.77734375" style="4" customWidth="1"/>
    <col min="260" max="260" width="11.33203125" style="4" customWidth="1"/>
    <col min="261" max="261" width="0" style="4" hidden="1" customWidth="1"/>
    <col min="262" max="263" width="2.88671875" style="4" bestFit="1" customWidth="1"/>
    <col min="264" max="264" width="2.88671875" style="4" customWidth="1"/>
    <col min="265" max="266" width="2.88671875" style="4" bestFit="1" customWidth="1"/>
    <col min="267" max="275" width="2.88671875" style="4" customWidth="1"/>
    <col min="276" max="276" width="2.88671875" style="4" bestFit="1" customWidth="1"/>
    <col min="277" max="277" width="2.88671875" style="4" customWidth="1"/>
    <col min="278" max="512" width="9" style="4"/>
    <col min="513" max="513" width="8.109375" style="4" customWidth="1"/>
    <col min="514" max="514" width="13.33203125" style="4" customWidth="1"/>
    <col min="515" max="515" width="10.77734375" style="4" customWidth="1"/>
    <col min="516" max="516" width="11.33203125" style="4" customWidth="1"/>
    <col min="517" max="517" width="0" style="4" hidden="1" customWidth="1"/>
    <col min="518" max="519" width="2.88671875" style="4" bestFit="1" customWidth="1"/>
    <col min="520" max="520" width="2.88671875" style="4" customWidth="1"/>
    <col min="521" max="522" width="2.88671875" style="4" bestFit="1" customWidth="1"/>
    <col min="523" max="531" width="2.88671875" style="4" customWidth="1"/>
    <col min="532" max="532" width="2.88671875" style="4" bestFit="1" customWidth="1"/>
    <col min="533" max="533" width="2.88671875" style="4" customWidth="1"/>
    <col min="534" max="768" width="9" style="4"/>
    <col min="769" max="769" width="8.109375" style="4" customWidth="1"/>
    <col min="770" max="770" width="13.33203125" style="4" customWidth="1"/>
    <col min="771" max="771" width="10.77734375" style="4" customWidth="1"/>
    <col min="772" max="772" width="11.33203125" style="4" customWidth="1"/>
    <col min="773" max="773" width="0" style="4" hidden="1" customWidth="1"/>
    <col min="774" max="775" width="2.88671875" style="4" bestFit="1" customWidth="1"/>
    <col min="776" max="776" width="2.88671875" style="4" customWidth="1"/>
    <col min="777" max="778" width="2.88671875" style="4" bestFit="1" customWidth="1"/>
    <col min="779" max="787" width="2.88671875" style="4" customWidth="1"/>
    <col min="788" max="788" width="2.88671875" style="4" bestFit="1" customWidth="1"/>
    <col min="789" max="789" width="2.88671875" style="4" customWidth="1"/>
    <col min="790" max="1024" width="9" style="4"/>
    <col min="1025" max="1025" width="8.109375" style="4" customWidth="1"/>
    <col min="1026" max="1026" width="13.33203125" style="4" customWidth="1"/>
    <col min="1027" max="1027" width="10.77734375" style="4" customWidth="1"/>
    <col min="1028" max="1028" width="11.33203125" style="4" customWidth="1"/>
    <col min="1029" max="1029" width="0" style="4" hidden="1" customWidth="1"/>
    <col min="1030" max="1031" width="2.88671875" style="4" bestFit="1" customWidth="1"/>
    <col min="1032" max="1032" width="2.88671875" style="4" customWidth="1"/>
    <col min="1033" max="1034" width="2.88671875" style="4" bestFit="1" customWidth="1"/>
    <col min="1035" max="1043" width="2.88671875" style="4" customWidth="1"/>
    <col min="1044" max="1044" width="2.88671875" style="4" bestFit="1" customWidth="1"/>
    <col min="1045" max="1045" width="2.88671875" style="4" customWidth="1"/>
    <col min="1046" max="1280" width="9" style="4"/>
    <col min="1281" max="1281" width="8.109375" style="4" customWidth="1"/>
    <col min="1282" max="1282" width="13.33203125" style="4" customWidth="1"/>
    <col min="1283" max="1283" width="10.77734375" style="4" customWidth="1"/>
    <col min="1284" max="1284" width="11.33203125" style="4" customWidth="1"/>
    <col min="1285" max="1285" width="0" style="4" hidden="1" customWidth="1"/>
    <col min="1286" max="1287" width="2.88671875" style="4" bestFit="1" customWidth="1"/>
    <col min="1288" max="1288" width="2.88671875" style="4" customWidth="1"/>
    <col min="1289" max="1290" width="2.88671875" style="4" bestFit="1" customWidth="1"/>
    <col min="1291" max="1299" width="2.88671875" style="4" customWidth="1"/>
    <col min="1300" max="1300" width="2.88671875" style="4" bestFit="1" customWidth="1"/>
    <col min="1301" max="1301" width="2.88671875" style="4" customWidth="1"/>
    <col min="1302" max="1536" width="9" style="4"/>
    <col min="1537" max="1537" width="8.109375" style="4" customWidth="1"/>
    <col min="1538" max="1538" width="13.33203125" style="4" customWidth="1"/>
    <col min="1539" max="1539" width="10.77734375" style="4" customWidth="1"/>
    <col min="1540" max="1540" width="11.33203125" style="4" customWidth="1"/>
    <col min="1541" max="1541" width="0" style="4" hidden="1" customWidth="1"/>
    <col min="1542" max="1543" width="2.88671875" style="4" bestFit="1" customWidth="1"/>
    <col min="1544" max="1544" width="2.88671875" style="4" customWidth="1"/>
    <col min="1545" max="1546" width="2.88671875" style="4" bestFit="1" customWidth="1"/>
    <col min="1547" max="1555" width="2.88671875" style="4" customWidth="1"/>
    <col min="1556" max="1556" width="2.88671875" style="4" bestFit="1" customWidth="1"/>
    <col min="1557" max="1557" width="2.88671875" style="4" customWidth="1"/>
    <col min="1558" max="1792" width="9" style="4"/>
    <col min="1793" max="1793" width="8.109375" style="4" customWidth="1"/>
    <col min="1794" max="1794" width="13.33203125" style="4" customWidth="1"/>
    <col min="1795" max="1795" width="10.77734375" style="4" customWidth="1"/>
    <col min="1796" max="1796" width="11.33203125" style="4" customWidth="1"/>
    <col min="1797" max="1797" width="0" style="4" hidden="1" customWidth="1"/>
    <col min="1798" max="1799" width="2.88671875" style="4" bestFit="1" customWidth="1"/>
    <col min="1800" max="1800" width="2.88671875" style="4" customWidth="1"/>
    <col min="1801" max="1802" width="2.88671875" style="4" bestFit="1" customWidth="1"/>
    <col min="1803" max="1811" width="2.88671875" style="4" customWidth="1"/>
    <col min="1812" max="1812" width="2.88671875" style="4" bestFit="1" customWidth="1"/>
    <col min="1813" max="1813" width="2.88671875" style="4" customWidth="1"/>
    <col min="1814" max="2048" width="9" style="4"/>
    <col min="2049" max="2049" width="8.109375" style="4" customWidth="1"/>
    <col min="2050" max="2050" width="13.33203125" style="4" customWidth="1"/>
    <col min="2051" max="2051" width="10.77734375" style="4" customWidth="1"/>
    <col min="2052" max="2052" width="11.33203125" style="4" customWidth="1"/>
    <col min="2053" max="2053" width="0" style="4" hidden="1" customWidth="1"/>
    <col min="2054" max="2055" width="2.88671875" style="4" bestFit="1" customWidth="1"/>
    <col min="2056" max="2056" width="2.88671875" style="4" customWidth="1"/>
    <col min="2057" max="2058" width="2.88671875" style="4" bestFit="1" customWidth="1"/>
    <col min="2059" max="2067" width="2.88671875" style="4" customWidth="1"/>
    <col min="2068" max="2068" width="2.88671875" style="4" bestFit="1" customWidth="1"/>
    <col min="2069" max="2069" width="2.88671875" style="4" customWidth="1"/>
    <col min="2070" max="2304" width="9" style="4"/>
    <col min="2305" max="2305" width="8.109375" style="4" customWidth="1"/>
    <col min="2306" max="2306" width="13.33203125" style="4" customWidth="1"/>
    <col min="2307" max="2307" width="10.77734375" style="4" customWidth="1"/>
    <col min="2308" max="2308" width="11.33203125" style="4" customWidth="1"/>
    <col min="2309" max="2309" width="0" style="4" hidden="1" customWidth="1"/>
    <col min="2310" max="2311" width="2.88671875" style="4" bestFit="1" customWidth="1"/>
    <col min="2312" max="2312" width="2.88671875" style="4" customWidth="1"/>
    <col min="2313" max="2314" width="2.88671875" style="4" bestFit="1" customWidth="1"/>
    <col min="2315" max="2323" width="2.88671875" style="4" customWidth="1"/>
    <col min="2324" max="2324" width="2.88671875" style="4" bestFit="1" customWidth="1"/>
    <col min="2325" max="2325" width="2.88671875" style="4" customWidth="1"/>
    <col min="2326" max="2560" width="9" style="4"/>
    <col min="2561" max="2561" width="8.109375" style="4" customWidth="1"/>
    <col min="2562" max="2562" width="13.33203125" style="4" customWidth="1"/>
    <col min="2563" max="2563" width="10.77734375" style="4" customWidth="1"/>
    <col min="2564" max="2564" width="11.33203125" style="4" customWidth="1"/>
    <col min="2565" max="2565" width="0" style="4" hidden="1" customWidth="1"/>
    <col min="2566" max="2567" width="2.88671875" style="4" bestFit="1" customWidth="1"/>
    <col min="2568" max="2568" width="2.88671875" style="4" customWidth="1"/>
    <col min="2569" max="2570" width="2.88671875" style="4" bestFit="1" customWidth="1"/>
    <col min="2571" max="2579" width="2.88671875" style="4" customWidth="1"/>
    <col min="2580" max="2580" width="2.88671875" style="4" bestFit="1" customWidth="1"/>
    <col min="2581" max="2581" width="2.88671875" style="4" customWidth="1"/>
    <col min="2582" max="2816" width="9" style="4"/>
    <col min="2817" max="2817" width="8.109375" style="4" customWidth="1"/>
    <col min="2818" max="2818" width="13.33203125" style="4" customWidth="1"/>
    <col min="2819" max="2819" width="10.77734375" style="4" customWidth="1"/>
    <col min="2820" max="2820" width="11.33203125" style="4" customWidth="1"/>
    <col min="2821" max="2821" width="0" style="4" hidden="1" customWidth="1"/>
    <col min="2822" max="2823" width="2.88671875" style="4" bestFit="1" customWidth="1"/>
    <col min="2824" max="2824" width="2.88671875" style="4" customWidth="1"/>
    <col min="2825" max="2826" width="2.88671875" style="4" bestFit="1" customWidth="1"/>
    <col min="2827" max="2835" width="2.88671875" style="4" customWidth="1"/>
    <col min="2836" max="2836" width="2.88671875" style="4" bestFit="1" customWidth="1"/>
    <col min="2837" max="2837" width="2.88671875" style="4" customWidth="1"/>
    <col min="2838" max="3072" width="9" style="4"/>
    <col min="3073" max="3073" width="8.109375" style="4" customWidth="1"/>
    <col min="3074" max="3074" width="13.33203125" style="4" customWidth="1"/>
    <col min="3075" max="3075" width="10.77734375" style="4" customWidth="1"/>
    <col min="3076" max="3076" width="11.33203125" style="4" customWidth="1"/>
    <col min="3077" max="3077" width="0" style="4" hidden="1" customWidth="1"/>
    <col min="3078" max="3079" width="2.88671875" style="4" bestFit="1" customWidth="1"/>
    <col min="3080" max="3080" width="2.88671875" style="4" customWidth="1"/>
    <col min="3081" max="3082" width="2.88671875" style="4" bestFit="1" customWidth="1"/>
    <col min="3083" max="3091" width="2.88671875" style="4" customWidth="1"/>
    <col min="3092" max="3092" width="2.88671875" style="4" bestFit="1" customWidth="1"/>
    <col min="3093" max="3093" width="2.88671875" style="4" customWidth="1"/>
    <col min="3094" max="3328" width="9" style="4"/>
    <col min="3329" max="3329" width="8.109375" style="4" customWidth="1"/>
    <col min="3330" max="3330" width="13.33203125" style="4" customWidth="1"/>
    <col min="3331" max="3331" width="10.77734375" style="4" customWidth="1"/>
    <col min="3332" max="3332" width="11.33203125" style="4" customWidth="1"/>
    <col min="3333" max="3333" width="0" style="4" hidden="1" customWidth="1"/>
    <col min="3334" max="3335" width="2.88671875" style="4" bestFit="1" customWidth="1"/>
    <col min="3336" max="3336" width="2.88671875" style="4" customWidth="1"/>
    <col min="3337" max="3338" width="2.88671875" style="4" bestFit="1" customWidth="1"/>
    <col min="3339" max="3347" width="2.88671875" style="4" customWidth="1"/>
    <col min="3348" max="3348" width="2.88671875" style="4" bestFit="1" customWidth="1"/>
    <col min="3349" max="3349" width="2.88671875" style="4" customWidth="1"/>
    <col min="3350" max="3584" width="9" style="4"/>
    <col min="3585" max="3585" width="8.109375" style="4" customWidth="1"/>
    <col min="3586" max="3586" width="13.33203125" style="4" customWidth="1"/>
    <col min="3587" max="3587" width="10.77734375" style="4" customWidth="1"/>
    <col min="3588" max="3588" width="11.33203125" style="4" customWidth="1"/>
    <col min="3589" max="3589" width="0" style="4" hidden="1" customWidth="1"/>
    <col min="3590" max="3591" width="2.88671875" style="4" bestFit="1" customWidth="1"/>
    <col min="3592" max="3592" width="2.88671875" style="4" customWidth="1"/>
    <col min="3593" max="3594" width="2.88671875" style="4" bestFit="1" customWidth="1"/>
    <col min="3595" max="3603" width="2.88671875" style="4" customWidth="1"/>
    <col min="3604" max="3604" width="2.88671875" style="4" bestFit="1" customWidth="1"/>
    <col min="3605" max="3605" width="2.88671875" style="4" customWidth="1"/>
    <col min="3606" max="3840" width="9" style="4"/>
    <col min="3841" max="3841" width="8.109375" style="4" customWidth="1"/>
    <col min="3842" max="3842" width="13.33203125" style="4" customWidth="1"/>
    <col min="3843" max="3843" width="10.77734375" style="4" customWidth="1"/>
    <col min="3844" max="3844" width="11.33203125" style="4" customWidth="1"/>
    <col min="3845" max="3845" width="0" style="4" hidden="1" customWidth="1"/>
    <col min="3846" max="3847" width="2.88671875" style="4" bestFit="1" customWidth="1"/>
    <col min="3848" max="3848" width="2.88671875" style="4" customWidth="1"/>
    <col min="3849" max="3850" width="2.88671875" style="4" bestFit="1" customWidth="1"/>
    <col min="3851" max="3859" width="2.88671875" style="4" customWidth="1"/>
    <col min="3860" max="3860" width="2.88671875" style="4" bestFit="1" customWidth="1"/>
    <col min="3861" max="3861" width="2.88671875" style="4" customWidth="1"/>
    <col min="3862" max="4096" width="9" style="4"/>
    <col min="4097" max="4097" width="8.109375" style="4" customWidth="1"/>
    <col min="4098" max="4098" width="13.33203125" style="4" customWidth="1"/>
    <col min="4099" max="4099" width="10.77734375" style="4" customWidth="1"/>
    <col min="4100" max="4100" width="11.33203125" style="4" customWidth="1"/>
    <col min="4101" max="4101" width="0" style="4" hidden="1" customWidth="1"/>
    <col min="4102" max="4103" width="2.88671875" style="4" bestFit="1" customWidth="1"/>
    <col min="4104" max="4104" width="2.88671875" style="4" customWidth="1"/>
    <col min="4105" max="4106" width="2.88671875" style="4" bestFit="1" customWidth="1"/>
    <col min="4107" max="4115" width="2.88671875" style="4" customWidth="1"/>
    <col min="4116" max="4116" width="2.88671875" style="4" bestFit="1" customWidth="1"/>
    <col min="4117" max="4117" width="2.88671875" style="4" customWidth="1"/>
    <col min="4118" max="4352" width="9" style="4"/>
    <col min="4353" max="4353" width="8.109375" style="4" customWidth="1"/>
    <col min="4354" max="4354" width="13.33203125" style="4" customWidth="1"/>
    <col min="4355" max="4355" width="10.77734375" style="4" customWidth="1"/>
    <col min="4356" max="4356" width="11.33203125" style="4" customWidth="1"/>
    <col min="4357" max="4357" width="0" style="4" hidden="1" customWidth="1"/>
    <col min="4358" max="4359" width="2.88671875" style="4" bestFit="1" customWidth="1"/>
    <col min="4360" max="4360" width="2.88671875" style="4" customWidth="1"/>
    <col min="4361" max="4362" width="2.88671875" style="4" bestFit="1" customWidth="1"/>
    <col min="4363" max="4371" width="2.88671875" style="4" customWidth="1"/>
    <col min="4372" max="4372" width="2.88671875" style="4" bestFit="1" customWidth="1"/>
    <col min="4373" max="4373" width="2.88671875" style="4" customWidth="1"/>
    <col min="4374" max="4608" width="9" style="4"/>
    <col min="4609" max="4609" width="8.109375" style="4" customWidth="1"/>
    <col min="4610" max="4610" width="13.33203125" style="4" customWidth="1"/>
    <col min="4611" max="4611" width="10.77734375" style="4" customWidth="1"/>
    <col min="4612" max="4612" width="11.33203125" style="4" customWidth="1"/>
    <col min="4613" max="4613" width="0" style="4" hidden="1" customWidth="1"/>
    <col min="4614" max="4615" width="2.88671875" style="4" bestFit="1" customWidth="1"/>
    <col min="4616" max="4616" width="2.88671875" style="4" customWidth="1"/>
    <col min="4617" max="4618" width="2.88671875" style="4" bestFit="1" customWidth="1"/>
    <col min="4619" max="4627" width="2.88671875" style="4" customWidth="1"/>
    <col min="4628" max="4628" width="2.88671875" style="4" bestFit="1" customWidth="1"/>
    <col min="4629" max="4629" width="2.88671875" style="4" customWidth="1"/>
    <col min="4630" max="4864" width="9" style="4"/>
    <col min="4865" max="4865" width="8.109375" style="4" customWidth="1"/>
    <col min="4866" max="4866" width="13.33203125" style="4" customWidth="1"/>
    <col min="4867" max="4867" width="10.77734375" style="4" customWidth="1"/>
    <col min="4868" max="4868" width="11.33203125" style="4" customWidth="1"/>
    <col min="4869" max="4869" width="0" style="4" hidden="1" customWidth="1"/>
    <col min="4870" max="4871" width="2.88671875" style="4" bestFit="1" customWidth="1"/>
    <col min="4872" max="4872" width="2.88671875" style="4" customWidth="1"/>
    <col min="4873" max="4874" width="2.88671875" style="4" bestFit="1" customWidth="1"/>
    <col min="4875" max="4883" width="2.88671875" style="4" customWidth="1"/>
    <col min="4884" max="4884" width="2.88671875" style="4" bestFit="1" customWidth="1"/>
    <col min="4885" max="4885" width="2.88671875" style="4" customWidth="1"/>
    <col min="4886" max="5120" width="9" style="4"/>
    <col min="5121" max="5121" width="8.109375" style="4" customWidth="1"/>
    <col min="5122" max="5122" width="13.33203125" style="4" customWidth="1"/>
    <col min="5123" max="5123" width="10.77734375" style="4" customWidth="1"/>
    <col min="5124" max="5124" width="11.33203125" style="4" customWidth="1"/>
    <col min="5125" max="5125" width="0" style="4" hidden="1" customWidth="1"/>
    <col min="5126" max="5127" width="2.88671875" style="4" bestFit="1" customWidth="1"/>
    <col min="5128" max="5128" width="2.88671875" style="4" customWidth="1"/>
    <col min="5129" max="5130" width="2.88671875" style="4" bestFit="1" customWidth="1"/>
    <col min="5131" max="5139" width="2.88671875" style="4" customWidth="1"/>
    <col min="5140" max="5140" width="2.88671875" style="4" bestFit="1" customWidth="1"/>
    <col min="5141" max="5141" width="2.88671875" style="4" customWidth="1"/>
    <col min="5142" max="5376" width="9" style="4"/>
    <col min="5377" max="5377" width="8.109375" style="4" customWidth="1"/>
    <col min="5378" max="5378" width="13.33203125" style="4" customWidth="1"/>
    <col min="5379" max="5379" width="10.77734375" style="4" customWidth="1"/>
    <col min="5380" max="5380" width="11.33203125" style="4" customWidth="1"/>
    <col min="5381" max="5381" width="0" style="4" hidden="1" customWidth="1"/>
    <col min="5382" max="5383" width="2.88671875" style="4" bestFit="1" customWidth="1"/>
    <col min="5384" max="5384" width="2.88671875" style="4" customWidth="1"/>
    <col min="5385" max="5386" width="2.88671875" style="4" bestFit="1" customWidth="1"/>
    <col min="5387" max="5395" width="2.88671875" style="4" customWidth="1"/>
    <col min="5396" max="5396" width="2.88671875" style="4" bestFit="1" customWidth="1"/>
    <col min="5397" max="5397" width="2.88671875" style="4" customWidth="1"/>
    <col min="5398" max="5632" width="9" style="4"/>
    <col min="5633" max="5633" width="8.109375" style="4" customWidth="1"/>
    <col min="5634" max="5634" width="13.33203125" style="4" customWidth="1"/>
    <col min="5635" max="5635" width="10.77734375" style="4" customWidth="1"/>
    <col min="5636" max="5636" width="11.33203125" style="4" customWidth="1"/>
    <col min="5637" max="5637" width="0" style="4" hidden="1" customWidth="1"/>
    <col min="5638" max="5639" width="2.88671875" style="4" bestFit="1" customWidth="1"/>
    <col min="5640" max="5640" width="2.88671875" style="4" customWidth="1"/>
    <col min="5641" max="5642" width="2.88671875" style="4" bestFit="1" customWidth="1"/>
    <col min="5643" max="5651" width="2.88671875" style="4" customWidth="1"/>
    <col min="5652" max="5652" width="2.88671875" style="4" bestFit="1" customWidth="1"/>
    <col min="5653" max="5653" width="2.88671875" style="4" customWidth="1"/>
    <col min="5654" max="5888" width="9" style="4"/>
    <col min="5889" max="5889" width="8.109375" style="4" customWidth="1"/>
    <col min="5890" max="5890" width="13.33203125" style="4" customWidth="1"/>
    <col min="5891" max="5891" width="10.77734375" style="4" customWidth="1"/>
    <col min="5892" max="5892" width="11.33203125" style="4" customWidth="1"/>
    <col min="5893" max="5893" width="0" style="4" hidden="1" customWidth="1"/>
    <col min="5894" max="5895" width="2.88671875" style="4" bestFit="1" customWidth="1"/>
    <col min="5896" max="5896" width="2.88671875" style="4" customWidth="1"/>
    <col min="5897" max="5898" width="2.88671875" style="4" bestFit="1" customWidth="1"/>
    <col min="5899" max="5907" width="2.88671875" style="4" customWidth="1"/>
    <col min="5908" max="5908" width="2.88671875" style="4" bestFit="1" customWidth="1"/>
    <col min="5909" max="5909" width="2.88671875" style="4" customWidth="1"/>
    <col min="5910" max="6144" width="9" style="4"/>
    <col min="6145" max="6145" width="8.109375" style="4" customWidth="1"/>
    <col min="6146" max="6146" width="13.33203125" style="4" customWidth="1"/>
    <col min="6147" max="6147" width="10.77734375" style="4" customWidth="1"/>
    <col min="6148" max="6148" width="11.33203125" style="4" customWidth="1"/>
    <col min="6149" max="6149" width="0" style="4" hidden="1" customWidth="1"/>
    <col min="6150" max="6151" width="2.88671875" style="4" bestFit="1" customWidth="1"/>
    <col min="6152" max="6152" width="2.88671875" style="4" customWidth="1"/>
    <col min="6153" max="6154" width="2.88671875" style="4" bestFit="1" customWidth="1"/>
    <col min="6155" max="6163" width="2.88671875" style="4" customWidth="1"/>
    <col min="6164" max="6164" width="2.88671875" style="4" bestFit="1" customWidth="1"/>
    <col min="6165" max="6165" width="2.88671875" style="4" customWidth="1"/>
    <col min="6166" max="6400" width="9" style="4"/>
    <col min="6401" max="6401" width="8.109375" style="4" customWidth="1"/>
    <col min="6402" max="6402" width="13.33203125" style="4" customWidth="1"/>
    <col min="6403" max="6403" width="10.77734375" style="4" customWidth="1"/>
    <col min="6404" max="6404" width="11.33203125" style="4" customWidth="1"/>
    <col min="6405" max="6405" width="0" style="4" hidden="1" customWidth="1"/>
    <col min="6406" max="6407" width="2.88671875" style="4" bestFit="1" customWidth="1"/>
    <col min="6408" max="6408" width="2.88671875" style="4" customWidth="1"/>
    <col min="6409" max="6410" width="2.88671875" style="4" bestFit="1" customWidth="1"/>
    <col min="6411" max="6419" width="2.88671875" style="4" customWidth="1"/>
    <col min="6420" max="6420" width="2.88671875" style="4" bestFit="1" customWidth="1"/>
    <col min="6421" max="6421" width="2.88671875" style="4" customWidth="1"/>
    <col min="6422" max="6656" width="9" style="4"/>
    <col min="6657" max="6657" width="8.109375" style="4" customWidth="1"/>
    <col min="6658" max="6658" width="13.33203125" style="4" customWidth="1"/>
    <col min="6659" max="6659" width="10.77734375" style="4" customWidth="1"/>
    <col min="6660" max="6660" width="11.33203125" style="4" customWidth="1"/>
    <col min="6661" max="6661" width="0" style="4" hidden="1" customWidth="1"/>
    <col min="6662" max="6663" width="2.88671875" style="4" bestFit="1" customWidth="1"/>
    <col min="6664" max="6664" width="2.88671875" style="4" customWidth="1"/>
    <col min="6665" max="6666" width="2.88671875" style="4" bestFit="1" customWidth="1"/>
    <col min="6667" max="6675" width="2.88671875" style="4" customWidth="1"/>
    <col min="6676" max="6676" width="2.88671875" style="4" bestFit="1" customWidth="1"/>
    <col min="6677" max="6677" width="2.88671875" style="4" customWidth="1"/>
    <col min="6678" max="6912" width="9" style="4"/>
    <col min="6913" max="6913" width="8.109375" style="4" customWidth="1"/>
    <col min="6914" max="6914" width="13.33203125" style="4" customWidth="1"/>
    <col min="6915" max="6915" width="10.77734375" style="4" customWidth="1"/>
    <col min="6916" max="6916" width="11.33203125" style="4" customWidth="1"/>
    <col min="6917" max="6917" width="0" style="4" hidden="1" customWidth="1"/>
    <col min="6918" max="6919" width="2.88671875" style="4" bestFit="1" customWidth="1"/>
    <col min="6920" max="6920" width="2.88671875" style="4" customWidth="1"/>
    <col min="6921" max="6922" width="2.88671875" style="4" bestFit="1" customWidth="1"/>
    <col min="6923" max="6931" width="2.88671875" style="4" customWidth="1"/>
    <col min="6932" max="6932" width="2.88671875" style="4" bestFit="1" customWidth="1"/>
    <col min="6933" max="6933" width="2.88671875" style="4" customWidth="1"/>
    <col min="6934" max="7168" width="9" style="4"/>
    <col min="7169" max="7169" width="8.109375" style="4" customWidth="1"/>
    <col min="7170" max="7170" width="13.33203125" style="4" customWidth="1"/>
    <col min="7171" max="7171" width="10.77734375" style="4" customWidth="1"/>
    <col min="7172" max="7172" width="11.33203125" style="4" customWidth="1"/>
    <col min="7173" max="7173" width="0" style="4" hidden="1" customWidth="1"/>
    <col min="7174" max="7175" width="2.88671875" style="4" bestFit="1" customWidth="1"/>
    <col min="7176" max="7176" width="2.88671875" style="4" customWidth="1"/>
    <col min="7177" max="7178" width="2.88671875" style="4" bestFit="1" customWidth="1"/>
    <col min="7179" max="7187" width="2.88671875" style="4" customWidth="1"/>
    <col min="7188" max="7188" width="2.88671875" style="4" bestFit="1" customWidth="1"/>
    <col min="7189" max="7189" width="2.88671875" style="4" customWidth="1"/>
    <col min="7190" max="7424" width="9" style="4"/>
    <col min="7425" max="7425" width="8.109375" style="4" customWidth="1"/>
    <col min="7426" max="7426" width="13.33203125" style="4" customWidth="1"/>
    <col min="7427" max="7427" width="10.77734375" style="4" customWidth="1"/>
    <col min="7428" max="7428" width="11.33203125" style="4" customWidth="1"/>
    <col min="7429" max="7429" width="0" style="4" hidden="1" customWidth="1"/>
    <col min="7430" max="7431" width="2.88671875" style="4" bestFit="1" customWidth="1"/>
    <col min="7432" max="7432" width="2.88671875" style="4" customWidth="1"/>
    <col min="7433" max="7434" width="2.88671875" style="4" bestFit="1" customWidth="1"/>
    <col min="7435" max="7443" width="2.88671875" style="4" customWidth="1"/>
    <col min="7444" max="7444" width="2.88671875" style="4" bestFit="1" customWidth="1"/>
    <col min="7445" max="7445" width="2.88671875" style="4" customWidth="1"/>
    <col min="7446" max="7680" width="9" style="4"/>
    <col min="7681" max="7681" width="8.109375" style="4" customWidth="1"/>
    <col min="7682" max="7682" width="13.33203125" style="4" customWidth="1"/>
    <col min="7683" max="7683" width="10.77734375" style="4" customWidth="1"/>
    <col min="7684" max="7684" width="11.33203125" style="4" customWidth="1"/>
    <col min="7685" max="7685" width="0" style="4" hidden="1" customWidth="1"/>
    <col min="7686" max="7687" width="2.88671875" style="4" bestFit="1" customWidth="1"/>
    <col min="7688" max="7688" width="2.88671875" style="4" customWidth="1"/>
    <col min="7689" max="7690" width="2.88671875" style="4" bestFit="1" customWidth="1"/>
    <col min="7691" max="7699" width="2.88671875" style="4" customWidth="1"/>
    <col min="7700" max="7700" width="2.88671875" style="4" bestFit="1" customWidth="1"/>
    <col min="7701" max="7701" width="2.88671875" style="4" customWidth="1"/>
    <col min="7702" max="7936" width="9" style="4"/>
    <col min="7937" max="7937" width="8.109375" style="4" customWidth="1"/>
    <col min="7938" max="7938" width="13.33203125" style="4" customWidth="1"/>
    <col min="7939" max="7939" width="10.77734375" style="4" customWidth="1"/>
    <col min="7940" max="7940" width="11.33203125" style="4" customWidth="1"/>
    <col min="7941" max="7941" width="0" style="4" hidden="1" customWidth="1"/>
    <col min="7942" max="7943" width="2.88671875" style="4" bestFit="1" customWidth="1"/>
    <col min="7944" max="7944" width="2.88671875" style="4" customWidth="1"/>
    <col min="7945" max="7946" width="2.88671875" style="4" bestFit="1" customWidth="1"/>
    <col min="7947" max="7955" width="2.88671875" style="4" customWidth="1"/>
    <col min="7956" max="7956" width="2.88671875" style="4" bestFit="1" customWidth="1"/>
    <col min="7957" max="7957" width="2.88671875" style="4" customWidth="1"/>
    <col min="7958" max="8192" width="9" style="4"/>
    <col min="8193" max="8193" width="8.109375" style="4" customWidth="1"/>
    <col min="8194" max="8194" width="13.33203125" style="4" customWidth="1"/>
    <col min="8195" max="8195" width="10.77734375" style="4" customWidth="1"/>
    <col min="8196" max="8196" width="11.33203125" style="4" customWidth="1"/>
    <col min="8197" max="8197" width="0" style="4" hidden="1" customWidth="1"/>
    <col min="8198" max="8199" width="2.88671875" style="4" bestFit="1" customWidth="1"/>
    <col min="8200" max="8200" width="2.88671875" style="4" customWidth="1"/>
    <col min="8201" max="8202" width="2.88671875" style="4" bestFit="1" customWidth="1"/>
    <col min="8203" max="8211" width="2.88671875" style="4" customWidth="1"/>
    <col min="8212" max="8212" width="2.88671875" style="4" bestFit="1" customWidth="1"/>
    <col min="8213" max="8213" width="2.88671875" style="4" customWidth="1"/>
    <col min="8214" max="8448" width="9" style="4"/>
    <col min="8449" max="8449" width="8.109375" style="4" customWidth="1"/>
    <col min="8450" max="8450" width="13.33203125" style="4" customWidth="1"/>
    <col min="8451" max="8451" width="10.77734375" style="4" customWidth="1"/>
    <col min="8452" max="8452" width="11.33203125" style="4" customWidth="1"/>
    <col min="8453" max="8453" width="0" style="4" hidden="1" customWidth="1"/>
    <col min="8454" max="8455" width="2.88671875" style="4" bestFit="1" customWidth="1"/>
    <col min="8456" max="8456" width="2.88671875" style="4" customWidth="1"/>
    <col min="8457" max="8458" width="2.88671875" style="4" bestFit="1" customWidth="1"/>
    <col min="8459" max="8467" width="2.88671875" style="4" customWidth="1"/>
    <col min="8468" max="8468" width="2.88671875" style="4" bestFit="1" customWidth="1"/>
    <col min="8469" max="8469" width="2.88671875" style="4" customWidth="1"/>
    <col min="8470" max="8704" width="9" style="4"/>
    <col min="8705" max="8705" width="8.109375" style="4" customWidth="1"/>
    <col min="8706" max="8706" width="13.33203125" style="4" customWidth="1"/>
    <col min="8707" max="8707" width="10.77734375" style="4" customWidth="1"/>
    <col min="8708" max="8708" width="11.33203125" style="4" customWidth="1"/>
    <col min="8709" max="8709" width="0" style="4" hidden="1" customWidth="1"/>
    <col min="8710" max="8711" width="2.88671875" style="4" bestFit="1" customWidth="1"/>
    <col min="8712" max="8712" width="2.88671875" style="4" customWidth="1"/>
    <col min="8713" max="8714" width="2.88671875" style="4" bestFit="1" customWidth="1"/>
    <col min="8715" max="8723" width="2.88671875" style="4" customWidth="1"/>
    <col min="8724" max="8724" width="2.88671875" style="4" bestFit="1" customWidth="1"/>
    <col min="8725" max="8725" width="2.88671875" style="4" customWidth="1"/>
    <col min="8726" max="8960" width="9" style="4"/>
    <col min="8961" max="8961" width="8.109375" style="4" customWidth="1"/>
    <col min="8962" max="8962" width="13.33203125" style="4" customWidth="1"/>
    <col min="8963" max="8963" width="10.77734375" style="4" customWidth="1"/>
    <col min="8964" max="8964" width="11.33203125" style="4" customWidth="1"/>
    <col min="8965" max="8965" width="0" style="4" hidden="1" customWidth="1"/>
    <col min="8966" max="8967" width="2.88671875" style="4" bestFit="1" customWidth="1"/>
    <col min="8968" max="8968" width="2.88671875" style="4" customWidth="1"/>
    <col min="8969" max="8970" width="2.88671875" style="4" bestFit="1" customWidth="1"/>
    <col min="8971" max="8979" width="2.88671875" style="4" customWidth="1"/>
    <col min="8980" max="8980" width="2.88671875" style="4" bestFit="1" customWidth="1"/>
    <col min="8981" max="8981" width="2.88671875" style="4" customWidth="1"/>
    <col min="8982" max="9216" width="9" style="4"/>
    <col min="9217" max="9217" width="8.109375" style="4" customWidth="1"/>
    <col min="9218" max="9218" width="13.33203125" style="4" customWidth="1"/>
    <col min="9219" max="9219" width="10.77734375" style="4" customWidth="1"/>
    <col min="9220" max="9220" width="11.33203125" style="4" customWidth="1"/>
    <col min="9221" max="9221" width="0" style="4" hidden="1" customWidth="1"/>
    <col min="9222" max="9223" width="2.88671875" style="4" bestFit="1" customWidth="1"/>
    <col min="9224" max="9224" width="2.88671875" style="4" customWidth="1"/>
    <col min="9225" max="9226" width="2.88671875" style="4" bestFit="1" customWidth="1"/>
    <col min="9227" max="9235" width="2.88671875" style="4" customWidth="1"/>
    <col min="9236" max="9236" width="2.88671875" style="4" bestFit="1" customWidth="1"/>
    <col min="9237" max="9237" width="2.88671875" style="4" customWidth="1"/>
    <col min="9238" max="9472" width="9" style="4"/>
    <col min="9473" max="9473" width="8.109375" style="4" customWidth="1"/>
    <col min="9474" max="9474" width="13.33203125" style="4" customWidth="1"/>
    <col min="9475" max="9475" width="10.77734375" style="4" customWidth="1"/>
    <col min="9476" max="9476" width="11.33203125" style="4" customWidth="1"/>
    <col min="9477" max="9477" width="0" style="4" hidden="1" customWidth="1"/>
    <col min="9478" max="9479" width="2.88671875" style="4" bestFit="1" customWidth="1"/>
    <col min="9480" max="9480" width="2.88671875" style="4" customWidth="1"/>
    <col min="9481" max="9482" width="2.88671875" style="4" bestFit="1" customWidth="1"/>
    <col min="9483" max="9491" width="2.88671875" style="4" customWidth="1"/>
    <col min="9492" max="9492" width="2.88671875" style="4" bestFit="1" customWidth="1"/>
    <col min="9493" max="9493" width="2.88671875" style="4" customWidth="1"/>
    <col min="9494" max="9728" width="9" style="4"/>
    <col min="9729" max="9729" width="8.109375" style="4" customWidth="1"/>
    <col min="9730" max="9730" width="13.33203125" style="4" customWidth="1"/>
    <col min="9731" max="9731" width="10.77734375" style="4" customWidth="1"/>
    <col min="9732" max="9732" width="11.33203125" style="4" customWidth="1"/>
    <col min="9733" max="9733" width="0" style="4" hidden="1" customWidth="1"/>
    <col min="9734" max="9735" width="2.88671875" style="4" bestFit="1" customWidth="1"/>
    <col min="9736" max="9736" width="2.88671875" style="4" customWidth="1"/>
    <col min="9737" max="9738" width="2.88671875" style="4" bestFit="1" customWidth="1"/>
    <col min="9739" max="9747" width="2.88671875" style="4" customWidth="1"/>
    <col min="9748" max="9748" width="2.88671875" style="4" bestFit="1" customWidth="1"/>
    <col min="9749" max="9749" width="2.88671875" style="4" customWidth="1"/>
    <col min="9750" max="9984" width="9" style="4"/>
    <col min="9985" max="9985" width="8.109375" style="4" customWidth="1"/>
    <col min="9986" max="9986" width="13.33203125" style="4" customWidth="1"/>
    <col min="9987" max="9987" width="10.77734375" style="4" customWidth="1"/>
    <col min="9988" max="9988" width="11.33203125" style="4" customWidth="1"/>
    <col min="9989" max="9989" width="0" style="4" hidden="1" customWidth="1"/>
    <col min="9990" max="9991" width="2.88671875" style="4" bestFit="1" customWidth="1"/>
    <col min="9992" max="9992" width="2.88671875" style="4" customWidth="1"/>
    <col min="9993" max="9994" width="2.88671875" style="4" bestFit="1" customWidth="1"/>
    <col min="9995" max="10003" width="2.88671875" style="4" customWidth="1"/>
    <col min="10004" max="10004" width="2.88671875" style="4" bestFit="1" customWidth="1"/>
    <col min="10005" max="10005" width="2.88671875" style="4" customWidth="1"/>
    <col min="10006" max="10240" width="9" style="4"/>
    <col min="10241" max="10241" width="8.109375" style="4" customWidth="1"/>
    <col min="10242" max="10242" width="13.33203125" style="4" customWidth="1"/>
    <col min="10243" max="10243" width="10.77734375" style="4" customWidth="1"/>
    <col min="10244" max="10244" width="11.33203125" style="4" customWidth="1"/>
    <col min="10245" max="10245" width="0" style="4" hidden="1" customWidth="1"/>
    <col min="10246" max="10247" width="2.88671875" style="4" bestFit="1" customWidth="1"/>
    <col min="10248" max="10248" width="2.88671875" style="4" customWidth="1"/>
    <col min="10249" max="10250" width="2.88671875" style="4" bestFit="1" customWidth="1"/>
    <col min="10251" max="10259" width="2.88671875" style="4" customWidth="1"/>
    <col min="10260" max="10260" width="2.88671875" style="4" bestFit="1" customWidth="1"/>
    <col min="10261" max="10261" width="2.88671875" style="4" customWidth="1"/>
    <col min="10262" max="10496" width="9" style="4"/>
    <col min="10497" max="10497" width="8.109375" style="4" customWidth="1"/>
    <col min="10498" max="10498" width="13.33203125" style="4" customWidth="1"/>
    <col min="10499" max="10499" width="10.77734375" style="4" customWidth="1"/>
    <col min="10500" max="10500" width="11.33203125" style="4" customWidth="1"/>
    <col min="10501" max="10501" width="0" style="4" hidden="1" customWidth="1"/>
    <col min="10502" max="10503" width="2.88671875" style="4" bestFit="1" customWidth="1"/>
    <col min="10504" max="10504" width="2.88671875" style="4" customWidth="1"/>
    <col min="10505" max="10506" width="2.88671875" style="4" bestFit="1" customWidth="1"/>
    <col min="10507" max="10515" width="2.88671875" style="4" customWidth="1"/>
    <col min="10516" max="10516" width="2.88671875" style="4" bestFit="1" customWidth="1"/>
    <col min="10517" max="10517" width="2.88671875" style="4" customWidth="1"/>
    <col min="10518" max="10752" width="9" style="4"/>
    <col min="10753" max="10753" width="8.109375" style="4" customWidth="1"/>
    <col min="10754" max="10754" width="13.33203125" style="4" customWidth="1"/>
    <col min="10755" max="10755" width="10.77734375" style="4" customWidth="1"/>
    <col min="10756" max="10756" width="11.33203125" style="4" customWidth="1"/>
    <col min="10757" max="10757" width="0" style="4" hidden="1" customWidth="1"/>
    <col min="10758" max="10759" width="2.88671875" style="4" bestFit="1" customWidth="1"/>
    <col min="10760" max="10760" width="2.88671875" style="4" customWidth="1"/>
    <col min="10761" max="10762" width="2.88671875" style="4" bestFit="1" customWidth="1"/>
    <col min="10763" max="10771" width="2.88671875" style="4" customWidth="1"/>
    <col min="10772" max="10772" width="2.88671875" style="4" bestFit="1" customWidth="1"/>
    <col min="10773" max="10773" width="2.88671875" style="4" customWidth="1"/>
    <col min="10774" max="11008" width="9" style="4"/>
    <col min="11009" max="11009" width="8.109375" style="4" customWidth="1"/>
    <col min="11010" max="11010" width="13.33203125" style="4" customWidth="1"/>
    <col min="11011" max="11011" width="10.77734375" style="4" customWidth="1"/>
    <col min="11012" max="11012" width="11.33203125" style="4" customWidth="1"/>
    <col min="11013" max="11013" width="0" style="4" hidden="1" customWidth="1"/>
    <col min="11014" max="11015" width="2.88671875" style="4" bestFit="1" customWidth="1"/>
    <col min="11016" max="11016" width="2.88671875" style="4" customWidth="1"/>
    <col min="11017" max="11018" width="2.88671875" style="4" bestFit="1" customWidth="1"/>
    <col min="11019" max="11027" width="2.88671875" style="4" customWidth="1"/>
    <col min="11028" max="11028" width="2.88671875" style="4" bestFit="1" customWidth="1"/>
    <col min="11029" max="11029" width="2.88671875" style="4" customWidth="1"/>
    <col min="11030" max="11264" width="9" style="4"/>
    <col min="11265" max="11265" width="8.109375" style="4" customWidth="1"/>
    <col min="11266" max="11266" width="13.33203125" style="4" customWidth="1"/>
    <col min="11267" max="11267" width="10.77734375" style="4" customWidth="1"/>
    <col min="11268" max="11268" width="11.33203125" style="4" customWidth="1"/>
    <col min="11269" max="11269" width="0" style="4" hidden="1" customWidth="1"/>
    <col min="11270" max="11271" width="2.88671875" style="4" bestFit="1" customWidth="1"/>
    <col min="11272" max="11272" width="2.88671875" style="4" customWidth="1"/>
    <col min="11273" max="11274" width="2.88671875" style="4" bestFit="1" customWidth="1"/>
    <col min="11275" max="11283" width="2.88671875" style="4" customWidth="1"/>
    <col min="11284" max="11284" width="2.88671875" style="4" bestFit="1" customWidth="1"/>
    <col min="11285" max="11285" width="2.88671875" style="4" customWidth="1"/>
    <col min="11286" max="11520" width="9" style="4"/>
    <col min="11521" max="11521" width="8.109375" style="4" customWidth="1"/>
    <col min="11522" max="11522" width="13.33203125" style="4" customWidth="1"/>
    <col min="11523" max="11523" width="10.77734375" style="4" customWidth="1"/>
    <col min="11524" max="11524" width="11.33203125" style="4" customWidth="1"/>
    <col min="11525" max="11525" width="0" style="4" hidden="1" customWidth="1"/>
    <col min="11526" max="11527" width="2.88671875" style="4" bestFit="1" customWidth="1"/>
    <col min="11528" max="11528" width="2.88671875" style="4" customWidth="1"/>
    <col min="11529" max="11530" width="2.88671875" style="4" bestFit="1" customWidth="1"/>
    <col min="11531" max="11539" width="2.88671875" style="4" customWidth="1"/>
    <col min="11540" max="11540" width="2.88671875" style="4" bestFit="1" customWidth="1"/>
    <col min="11541" max="11541" width="2.88671875" style="4" customWidth="1"/>
    <col min="11542" max="11776" width="9" style="4"/>
    <col min="11777" max="11777" width="8.109375" style="4" customWidth="1"/>
    <col min="11778" max="11778" width="13.33203125" style="4" customWidth="1"/>
    <col min="11779" max="11779" width="10.77734375" style="4" customWidth="1"/>
    <col min="11780" max="11780" width="11.33203125" style="4" customWidth="1"/>
    <col min="11781" max="11781" width="0" style="4" hidden="1" customWidth="1"/>
    <col min="11782" max="11783" width="2.88671875" style="4" bestFit="1" customWidth="1"/>
    <col min="11784" max="11784" width="2.88671875" style="4" customWidth="1"/>
    <col min="11785" max="11786" width="2.88671875" style="4" bestFit="1" customWidth="1"/>
    <col min="11787" max="11795" width="2.88671875" style="4" customWidth="1"/>
    <col min="11796" max="11796" width="2.88671875" style="4" bestFit="1" customWidth="1"/>
    <col min="11797" max="11797" width="2.88671875" style="4" customWidth="1"/>
    <col min="11798" max="12032" width="9" style="4"/>
    <col min="12033" max="12033" width="8.109375" style="4" customWidth="1"/>
    <col min="12034" max="12034" width="13.33203125" style="4" customWidth="1"/>
    <col min="12035" max="12035" width="10.77734375" style="4" customWidth="1"/>
    <col min="12036" max="12036" width="11.33203125" style="4" customWidth="1"/>
    <col min="12037" max="12037" width="0" style="4" hidden="1" customWidth="1"/>
    <col min="12038" max="12039" width="2.88671875" style="4" bestFit="1" customWidth="1"/>
    <col min="12040" max="12040" width="2.88671875" style="4" customWidth="1"/>
    <col min="12041" max="12042" width="2.88671875" style="4" bestFit="1" customWidth="1"/>
    <col min="12043" max="12051" width="2.88671875" style="4" customWidth="1"/>
    <col min="12052" max="12052" width="2.88671875" style="4" bestFit="1" customWidth="1"/>
    <col min="12053" max="12053" width="2.88671875" style="4" customWidth="1"/>
    <col min="12054" max="12288" width="9" style="4"/>
    <col min="12289" max="12289" width="8.109375" style="4" customWidth="1"/>
    <col min="12290" max="12290" width="13.33203125" style="4" customWidth="1"/>
    <col min="12291" max="12291" width="10.77734375" style="4" customWidth="1"/>
    <col min="12292" max="12292" width="11.33203125" style="4" customWidth="1"/>
    <col min="12293" max="12293" width="0" style="4" hidden="1" customWidth="1"/>
    <col min="12294" max="12295" width="2.88671875" style="4" bestFit="1" customWidth="1"/>
    <col min="12296" max="12296" width="2.88671875" style="4" customWidth="1"/>
    <col min="12297" max="12298" width="2.88671875" style="4" bestFit="1" customWidth="1"/>
    <col min="12299" max="12307" width="2.88671875" style="4" customWidth="1"/>
    <col min="12308" max="12308" width="2.88671875" style="4" bestFit="1" customWidth="1"/>
    <col min="12309" max="12309" width="2.88671875" style="4" customWidth="1"/>
    <col min="12310" max="12544" width="9" style="4"/>
    <col min="12545" max="12545" width="8.109375" style="4" customWidth="1"/>
    <col min="12546" max="12546" width="13.33203125" style="4" customWidth="1"/>
    <col min="12547" max="12547" width="10.77734375" style="4" customWidth="1"/>
    <col min="12548" max="12548" width="11.33203125" style="4" customWidth="1"/>
    <col min="12549" max="12549" width="0" style="4" hidden="1" customWidth="1"/>
    <col min="12550" max="12551" width="2.88671875" style="4" bestFit="1" customWidth="1"/>
    <col min="12552" max="12552" width="2.88671875" style="4" customWidth="1"/>
    <col min="12553" max="12554" width="2.88671875" style="4" bestFit="1" customWidth="1"/>
    <col min="12555" max="12563" width="2.88671875" style="4" customWidth="1"/>
    <col min="12564" max="12564" width="2.88671875" style="4" bestFit="1" customWidth="1"/>
    <col min="12565" max="12565" width="2.88671875" style="4" customWidth="1"/>
    <col min="12566" max="12800" width="9" style="4"/>
    <col min="12801" max="12801" width="8.109375" style="4" customWidth="1"/>
    <col min="12802" max="12802" width="13.33203125" style="4" customWidth="1"/>
    <col min="12803" max="12803" width="10.77734375" style="4" customWidth="1"/>
    <col min="12804" max="12804" width="11.33203125" style="4" customWidth="1"/>
    <col min="12805" max="12805" width="0" style="4" hidden="1" customWidth="1"/>
    <col min="12806" max="12807" width="2.88671875" style="4" bestFit="1" customWidth="1"/>
    <col min="12808" max="12808" width="2.88671875" style="4" customWidth="1"/>
    <col min="12809" max="12810" width="2.88671875" style="4" bestFit="1" customWidth="1"/>
    <col min="12811" max="12819" width="2.88671875" style="4" customWidth="1"/>
    <col min="12820" max="12820" width="2.88671875" style="4" bestFit="1" customWidth="1"/>
    <col min="12821" max="12821" width="2.88671875" style="4" customWidth="1"/>
    <col min="12822" max="13056" width="9" style="4"/>
    <col min="13057" max="13057" width="8.109375" style="4" customWidth="1"/>
    <col min="13058" max="13058" width="13.33203125" style="4" customWidth="1"/>
    <col min="13059" max="13059" width="10.77734375" style="4" customWidth="1"/>
    <col min="13060" max="13060" width="11.33203125" style="4" customWidth="1"/>
    <col min="13061" max="13061" width="0" style="4" hidden="1" customWidth="1"/>
    <col min="13062" max="13063" width="2.88671875" style="4" bestFit="1" customWidth="1"/>
    <col min="13064" max="13064" width="2.88671875" style="4" customWidth="1"/>
    <col min="13065" max="13066" width="2.88671875" style="4" bestFit="1" customWidth="1"/>
    <col min="13067" max="13075" width="2.88671875" style="4" customWidth="1"/>
    <col min="13076" max="13076" width="2.88671875" style="4" bestFit="1" customWidth="1"/>
    <col min="13077" max="13077" width="2.88671875" style="4" customWidth="1"/>
    <col min="13078" max="13312" width="9" style="4"/>
    <col min="13313" max="13313" width="8.109375" style="4" customWidth="1"/>
    <col min="13314" max="13314" width="13.33203125" style="4" customWidth="1"/>
    <col min="13315" max="13315" width="10.77734375" style="4" customWidth="1"/>
    <col min="13316" max="13316" width="11.33203125" style="4" customWidth="1"/>
    <col min="13317" max="13317" width="0" style="4" hidden="1" customWidth="1"/>
    <col min="13318" max="13319" width="2.88671875" style="4" bestFit="1" customWidth="1"/>
    <col min="13320" max="13320" width="2.88671875" style="4" customWidth="1"/>
    <col min="13321" max="13322" width="2.88671875" style="4" bestFit="1" customWidth="1"/>
    <col min="13323" max="13331" width="2.88671875" style="4" customWidth="1"/>
    <col min="13332" max="13332" width="2.88671875" style="4" bestFit="1" customWidth="1"/>
    <col min="13333" max="13333" width="2.88671875" style="4" customWidth="1"/>
    <col min="13334" max="13568" width="9" style="4"/>
    <col min="13569" max="13569" width="8.109375" style="4" customWidth="1"/>
    <col min="13570" max="13570" width="13.33203125" style="4" customWidth="1"/>
    <col min="13571" max="13571" width="10.77734375" style="4" customWidth="1"/>
    <col min="13572" max="13572" width="11.33203125" style="4" customWidth="1"/>
    <col min="13573" max="13573" width="0" style="4" hidden="1" customWidth="1"/>
    <col min="13574" max="13575" width="2.88671875" style="4" bestFit="1" customWidth="1"/>
    <col min="13576" max="13576" width="2.88671875" style="4" customWidth="1"/>
    <col min="13577" max="13578" width="2.88671875" style="4" bestFit="1" customWidth="1"/>
    <col min="13579" max="13587" width="2.88671875" style="4" customWidth="1"/>
    <col min="13588" max="13588" width="2.88671875" style="4" bestFit="1" customWidth="1"/>
    <col min="13589" max="13589" width="2.88671875" style="4" customWidth="1"/>
    <col min="13590" max="13824" width="9" style="4"/>
    <col min="13825" max="13825" width="8.109375" style="4" customWidth="1"/>
    <col min="13826" max="13826" width="13.33203125" style="4" customWidth="1"/>
    <col min="13827" max="13827" width="10.77734375" style="4" customWidth="1"/>
    <col min="13828" max="13828" width="11.33203125" style="4" customWidth="1"/>
    <col min="13829" max="13829" width="0" style="4" hidden="1" customWidth="1"/>
    <col min="13830" max="13831" width="2.88671875" style="4" bestFit="1" customWidth="1"/>
    <col min="13832" max="13832" width="2.88671875" style="4" customWidth="1"/>
    <col min="13833" max="13834" width="2.88671875" style="4" bestFit="1" customWidth="1"/>
    <col min="13835" max="13843" width="2.88671875" style="4" customWidth="1"/>
    <col min="13844" max="13844" width="2.88671875" style="4" bestFit="1" customWidth="1"/>
    <col min="13845" max="13845" width="2.88671875" style="4" customWidth="1"/>
    <col min="13846" max="14080" width="9" style="4"/>
    <col min="14081" max="14081" width="8.109375" style="4" customWidth="1"/>
    <col min="14082" max="14082" width="13.33203125" style="4" customWidth="1"/>
    <col min="14083" max="14083" width="10.77734375" style="4" customWidth="1"/>
    <col min="14084" max="14084" width="11.33203125" style="4" customWidth="1"/>
    <col min="14085" max="14085" width="0" style="4" hidden="1" customWidth="1"/>
    <col min="14086" max="14087" width="2.88671875" style="4" bestFit="1" customWidth="1"/>
    <col min="14088" max="14088" width="2.88671875" style="4" customWidth="1"/>
    <col min="14089" max="14090" width="2.88671875" style="4" bestFit="1" customWidth="1"/>
    <col min="14091" max="14099" width="2.88671875" style="4" customWidth="1"/>
    <col min="14100" max="14100" width="2.88671875" style="4" bestFit="1" customWidth="1"/>
    <col min="14101" max="14101" width="2.88671875" style="4" customWidth="1"/>
    <col min="14102" max="14336" width="9" style="4"/>
    <col min="14337" max="14337" width="8.109375" style="4" customWidth="1"/>
    <col min="14338" max="14338" width="13.33203125" style="4" customWidth="1"/>
    <col min="14339" max="14339" width="10.77734375" style="4" customWidth="1"/>
    <col min="14340" max="14340" width="11.33203125" style="4" customWidth="1"/>
    <col min="14341" max="14341" width="0" style="4" hidden="1" customWidth="1"/>
    <col min="14342" max="14343" width="2.88671875" style="4" bestFit="1" customWidth="1"/>
    <col min="14344" max="14344" width="2.88671875" style="4" customWidth="1"/>
    <col min="14345" max="14346" width="2.88671875" style="4" bestFit="1" customWidth="1"/>
    <col min="14347" max="14355" width="2.88671875" style="4" customWidth="1"/>
    <col min="14356" max="14356" width="2.88671875" style="4" bestFit="1" customWidth="1"/>
    <col min="14357" max="14357" width="2.88671875" style="4" customWidth="1"/>
    <col min="14358" max="14592" width="9" style="4"/>
    <col min="14593" max="14593" width="8.109375" style="4" customWidth="1"/>
    <col min="14594" max="14594" width="13.33203125" style="4" customWidth="1"/>
    <col min="14595" max="14595" width="10.77734375" style="4" customWidth="1"/>
    <col min="14596" max="14596" width="11.33203125" style="4" customWidth="1"/>
    <col min="14597" max="14597" width="0" style="4" hidden="1" customWidth="1"/>
    <col min="14598" max="14599" width="2.88671875" style="4" bestFit="1" customWidth="1"/>
    <col min="14600" max="14600" width="2.88671875" style="4" customWidth="1"/>
    <col min="14601" max="14602" width="2.88671875" style="4" bestFit="1" customWidth="1"/>
    <col min="14603" max="14611" width="2.88671875" style="4" customWidth="1"/>
    <col min="14612" max="14612" width="2.88671875" style="4" bestFit="1" customWidth="1"/>
    <col min="14613" max="14613" width="2.88671875" style="4" customWidth="1"/>
    <col min="14614" max="14848" width="9" style="4"/>
    <col min="14849" max="14849" width="8.109375" style="4" customWidth="1"/>
    <col min="14850" max="14850" width="13.33203125" style="4" customWidth="1"/>
    <col min="14851" max="14851" width="10.77734375" style="4" customWidth="1"/>
    <col min="14852" max="14852" width="11.33203125" style="4" customWidth="1"/>
    <col min="14853" max="14853" width="0" style="4" hidden="1" customWidth="1"/>
    <col min="14854" max="14855" width="2.88671875" style="4" bestFit="1" customWidth="1"/>
    <col min="14856" max="14856" width="2.88671875" style="4" customWidth="1"/>
    <col min="14857" max="14858" width="2.88671875" style="4" bestFit="1" customWidth="1"/>
    <col min="14859" max="14867" width="2.88671875" style="4" customWidth="1"/>
    <col min="14868" max="14868" width="2.88671875" style="4" bestFit="1" customWidth="1"/>
    <col min="14869" max="14869" width="2.88671875" style="4" customWidth="1"/>
    <col min="14870" max="15104" width="9" style="4"/>
    <col min="15105" max="15105" width="8.109375" style="4" customWidth="1"/>
    <col min="15106" max="15106" width="13.33203125" style="4" customWidth="1"/>
    <col min="15107" max="15107" width="10.77734375" style="4" customWidth="1"/>
    <col min="15108" max="15108" width="11.33203125" style="4" customWidth="1"/>
    <col min="15109" max="15109" width="0" style="4" hidden="1" customWidth="1"/>
    <col min="15110" max="15111" width="2.88671875" style="4" bestFit="1" customWidth="1"/>
    <col min="15112" max="15112" width="2.88671875" style="4" customWidth="1"/>
    <col min="15113" max="15114" width="2.88671875" style="4" bestFit="1" customWidth="1"/>
    <col min="15115" max="15123" width="2.88671875" style="4" customWidth="1"/>
    <col min="15124" max="15124" width="2.88671875" style="4" bestFit="1" customWidth="1"/>
    <col min="15125" max="15125" width="2.88671875" style="4" customWidth="1"/>
    <col min="15126" max="15360" width="9" style="4"/>
    <col min="15361" max="15361" width="8.109375" style="4" customWidth="1"/>
    <col min="15362" max="15362" width="13.33203125" style="4" customWidth="1"/>
    <col min="15363" max="15363" width="10.77734375" style="4" customWidth="1"/>
    <col min="15364" max="15364" width="11.33203125" style="4" customWidth="1"/>
    <col min="15365" max="15365" width="0" style="4" hidden="1" customWidth="1"/>
    <col min="15366" max="15367" width="2.88671875" style="4" bestFit="1" customWidth="1"/>
    <col min="15368" max="15368" width="2.88671875" style="4" customWidth="1"/>
    <col min="15369" max="15370" width="2.88671875" style="4" bestFit="1" customWidth="1"/>
    <col min="15371" max="15379" width="2.88671875" style="4" customWidth="1"/>
    <col min="15380" max="15380" width="2.88671875" style="4" bestFit="1" customWidth="1"/>
    <col min="15381" max="15381" width="2.88671875" style="4" customWidth="1"/>
    <col min="15382" max="15616" width="9" style="4"/>
    <col min="15617" max="15617" width="8.109375" style="4" customWidth="1"/>
    <col min="15618" max="15618" width="13.33203125" style="4" customWidth="1"/>
    <col min="15619" max="15619" width="10.77734375" style="4" customWidth="1"/>
    <col min="15620" max="15620" width="11.33203125" style="4" customWidth="1"/>
    <col min="15621" max="15621" width="0" style="4" hidden="1" customWidth="1"/>
    <col min="15622" max="15623" width="2.88671875" style="4" bestFit="1" customWidth="1"/>
    <col min="15624" max="15624" width="2.88671875" style="4" customWidth="1"/>
    <col min="15625" max="15626" width="2.88671875" style="4" bestFit="1" customWidth="1"/>
    <col min="15627" max="15635" width="2.88671875" style="4" customWidth="1"/>
    <col min="15636" max="15636" width="2.88671875" style="4" bestFit="1" customWidth="1"/>
    <col min="15637" max="15637" width="2.88671875" style="4" customWidth="1"/>
    <col min="15638" max="15872" width="9" style="4"/>
    <col min="15873" max="15873" width="8.109375" style="4" customWidth="1"/>
    <col min="15874" max="15874" width="13.33203125" style="4" customWidth="1"/>
    <col min="15875" max="15875" width="10.77734375" style="4" customWidth="1"/>
    <col min="15876" max="15876" width="11.33203125" style="4" customWidth="1"/>
    <col min="15877" max="15877" width="0" style="4" hidden="1" customWidth="1"/>
    <col min="15878" max="15879" width="2.88671875" style="4" bestFit="1" customWidth="1"/>
    <col min="15880" max="15880" width="2.88671875" style="4" customWidth="1"/>
    <col min="15881" max="15882" width="2.88671875" style="4" bestFit="1" customWidth="1"/>
    <col min="15883" max="15891" width="2.88671875" style="4" customWidth="1"/>
    <col min="15892" max="15892" width="2.88671875" style="4" bestFit="1" customWidth="1"/>
    <col min="15893" max="15893" width="2.88671875" style="4" customWidth="1"/>
    <col min="15894" max="16128" width="9" style="4"/>
    <col min="16129" max="16129" width="8.109375" style="4" customWidth="1"/>
    <col min="16130" max="16130" width="13.33203125" style="4" customWidth="1"/>
    <col min="16131" max="16131" width="10.77734375" style="4" customWidth="1"/>
    <col min="16132" max="16132" width="11.33203125" style="4" customWidth="1"/>
    <col min="16133" max="16133" width="0" style="4" hidden="1" customWidth="1"/>
    <col min="16134" max="16135" width="2.88671875" style="4" bestFit="1" customWidth="1"/>
    <col min="16136" max="16136" width="2.88671875" style="4" customWidth="1"/>
    <col min="16137" max="16138" width="2.88671875" style="4" bestFit="1" customWidth="1"/>
    <col min="16139" max="16147" width="2.88671875" style="4" customWidth="1"/>
    <col min="16148" max="16148" width="2.88671875" style="4" bestFit="1" customWidth="1"/>
    <col min="16149" max="16149" width="2.88671875" style="4" customWidth="1"/>
    <col min="16150" max="16384" width="9" style="4"/>
  </cols>
  <sheetData>
    <row r="1" spans="1:22" ht="13.5" customHeight="1">
      <c r="A1" s="153" t="s">
        <v>6</v>
      </c>
      <c r="B1" s="154"/>
      <c r="C1" s="155" t="s">
        <v>58</v>
      </c>
      <c r="D1" s="156"/>
      <c r="E1" s="157"/>
      <c r="F1" s="158" t="s">
        <v>7</v>
      </c>
      <c r="G1" s="159"/>
      <c r="H1" s="159"/>
      <c r="I1" s="159"/>
      <c r="J1" s="159"/>
      <c r="K1" s="159"/>
      <c r="L1" s="160" t="s">
        <v>58</v>
      </c>
      <c r="M1" s="161"/>
      <c r="N1" s="161"/>
      <c r="O1" s="161"/>
      <c r="P1" s="161"/>
      <c r="Q1" s="161"/>
      <c r="R1" s="161"/>
      <c r="S1" s="161"/>
      <c r="T1" s="162"/>
    </row>
    <row r="2" spans="1:22" ht="13.5" customHeight="1">
      <c r="A2" s="132" t="s">
        <v>8</v>
      </c>
      <c r="B2" s="133"/>
      <c r="C2" s="163"/>
      <c r="D2" s="164"/>
      <c r="E2" s="165"/>
      <c r="F2" s="136" t="s">
        <v>9</v>
      </c>
      <c r="G2" s="137"/>
      <c r="H2" s="137"/>
      <c r="I2" s="137"/>
      <c r="J2" s="137"/>
      <c r="K2" s="138"/>
      <c r="L2" s="166"/>
      <c r="M2" s="167"/>
      <c r="N2" s="167"/>
      <c r="O2" s="167"/>
      <c r="P2" s="167"/>
      <c r="Q2" s="167"/>
      <c r="R2" s="167"/>
      <c r="S2" s="167"/>
      <c r="T2" s="168"/>
    </row>
    <row r="3" spans="1:22" ht="13.5" customHeight="1">
      <c r="A3" s="132" t="s">
        <v>10</v>
      </c>
      <c r="B3" s="133"/>
      <c r="C3" s="134">
        <v>34</v>
      </c>
      <c r="D3" s="135"/>
      <c r="E3" s="6"/>
      <c r="F3" s="136" t="s">
        <v>11</v>
      </c>
      <c r="G3" s="137"/>
      <c r="H3" s="137"/>
      <c r="I3" s="137"/>
      <c r="J3" s="137"/>
      <c r="K3" s="138"/>
      <c r="L3" s="139">
        <v>-1</v>
      </c>
      <c r="M3" s="140"/>
      <c r="N3" s="140"/>
      <c r="O3" s="140"/>
      <c r="P3" s="140"/>
      <c r="Q3" s="140"/>
      <c r="R3" s="140"/>
      <c r="S3" s="140"/>
      <c r="T3" s="141"/>
    </row>
    <row r="4" spans="1:22" ht="21.6" customHeight="1">
      <c r="A4" s="132" t="s">
        <v>12</v>
      </c>
      <c r="B4" s="133"/>
      <c r="C4" s="142" t="s">
        <v>59</v>
      </c>
      <c r="D4" s="143"/>
      <c r="E4" s="143"/>
      <c r="F4" s="144"/>
      <c r="G4" s="144"/>
      <c r="H4" s="144"/>
      <c r="I4" s="144"/>
      <c r="J4" s="144"/>
      <c r="K4" s="144"/>
      <c r="L4" s="143"/>
      <c r="M4" s="143"/>
      <c r="N4" s="143"/>
      <c r="O4" s="143"/>
      <c r="P4" s="143"/>
      <c r="Q4" s="143"/>
      <c r="R4" s="143"/>
      <c r="S4" s="143"/>
      <c r="T4" s="143"/>
    </row>
    <row r="5" spans="1:22" ht="13.5" customHeight="1">
      <c r="A5" s="145" t="s">
        <v>13</v>
      </c>
      <c r="B5" s="146"/>
      <c r="C5" s="147" t="s">
        <v>14</v>
      </c>
      <c r="D5" s="148"/>
      <c r="E5" s="149"/>
      <c r="F5" s="147" t="s">
        <v>15</v>
      </c>
      <c r="G5" s="148"/>
      <c r="H5" s="148"/>
      <c r="I5" s="148"/>
      <c r="J5" s="148"/>
      <c r="K5" s="150"/>
      <c r="L5" s="148" t="s">
        <v>16</v>
      </c>
      <c r="M5" s="148"/>
      <c r="N5" s="148"/>
      <c r="O5" s="151" t="s">
        <v>17</v>
      </c>
      <c r="P5" s="148"/>
      <c r="Q5" s="148"/>
      <c r="R5" s="148"/>
      <c r="S5" s="148"/>
      <c r="T5" s="152"/>
    </row>
    <row r="6" spans="1:22" ht="13.5" customHeight="1" thickBot="1">
      <c r="A6" s="125">
        <f>COUNTIF(F60:HQ60,"P")</f>
        <v>11</v>
      </c>
      <c r="B6" s="126"/>
      <c r="C6" s="127">
        <f>COUNTIF(F60:HQ60,"F")</f>
        <v>0</v>
      </c>
      <c r="D6" s="128"/>
      <c r="E6" s="126"/>
      <c r="F6" s="127">
        <f>SUM(O6,- A6,- C6)</f>
        <v>0</v>
      </c>
      <c r="G6" s="128"/>
      <c r="H6" s="128"/>
      <c r="I6" s="128"/>
      <c r="J6" s="128"/>
      <c r="K6" s="129"/>
      <c r="L6" s="7">
        <f>COUNTIF(E59:HQ59,"N")</f>
        <v>9</v>
      </c>
      <c r="M6" s="7">
        <f>COUNTIF(E59:HQ59,"A")</f>
        <v>2</v>
      </c>
      <c r="N6" s="7">
        <f>COUNTIF(E59:HQ59,"B")</f>
        <v>0</v>
      </c>
      <c r="O6" s="130">
        <f>COUNTA(E8:HT8)</f>
        <v>11</v>
      </c>
      <c r="P6" s="128"/>
      <c r="Q6" s="128"/>
      <c r="R6" s="128"/>
      <c r="S6" s="128"/>
      <c r="T6" s="131"/>
      <c r="U6" s="8"/>
    </row>
    <row r="7" spans="1:22" ht="10.8" thickBot="1"/>
    <row r="8" spans="1:22" ht="46.5" customHeight="1" thickBot="1">
      <c r="A8" s="113"/>
      <c r="B8" s="114"/>
      <c r="C8" s="114"/>
      <c r="D8" s="114"/>
      <c r="E8" s="11"/>
      <c r="F8" s="12" t="s">
        <v>18</v>
      </c>
      <c r="G8" s="12" t="s">
        <v>19</v>
      </c>
      <c r="H8" s="12" t="s">
        <v>20</v>
      </c>
      <c r="I8" s="12" t="s">
        <v>78</v>
      </c>
      <c r="J8" s="12" t="s">
        <v>79</v>
      </c>
      <c r="K8" s="12" t="s">
        <v>80</v>
      </c>
      <c r="L8" s="12" t="s">
        <v>81</v>
      </c>
      <c r="M8" s="12" t="s">
        <v>82</v>
      </c>
      <c r="N8" s="12" t="s">
        <v>83</v>
      </c>
      <c r="O8" s="12" t="s">
        <v>84</v>
      </c>
      <c r="P8" s="12" t="s">
        <v>85</v>
      </c>
      <c r="Q8" s="13"/>
      <c r="R8" s="13"/>
      <c r="S8" s="13"/>
      <c r="T8" s="14"/>
      <c r="U8" s="2"/>
      <c r="V8" s="15"/>
    </row>
    <row r="9" spans="1:22" ht="13.5" customHeight="1">
      <c r="A9" s="16" t="s">
        <v>21</v>
      </c>
      <c r="B9" s="17" t="s">
        <v>22</v>
      </c>
      <c r="C9" s="18"/>
      <c r="D9" s="19"/>
      <c r="E9" s="88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</row>
    <row r="10" spans="1:22" ht="13.5" customHeight="1">
      <c r="A10" s="22"/>
      <c r="B10" s="119" t="s">
        <v>61</v>
      </c>
      <c r="C10" s="120"/>
      <c r="D10" s="121"/>
      <c r="E10" s="101"/>
      <c r="F10" s="26" t="s">
        <v>25</v>
      </c>
      <c r="G10" s="26" t="s">
        <v>25</v>
      </c>
      <c r="H10" s="26" t="s">
        <v>25</v>
      </c>
      <c r="I10" s="26" t="s">
        <v>25</v>
      </c>
      <c r="J10" s="26" t="s">
        <v>25</v>
      </c>
      <c r="K10" s="26" t="s">
        <v>25</v>
      </c>
      <c r="L10" s="26" t="s">
        <v>25</v>
      </c>
      <c r="M10" s="26" t="s">
        <v>25</v>
      </c>
      <c r="N10" s="26" t="s">
        <v>25</v>
      </c>
      <c r="O10" s="26" t="s">
        <v>25</v>
      </c>
      <c r="P10" s="26" t="s">
        <v>25</v>
      </c>
      <c r="Q10" s="20"/>
      <c r="R10" s="20"/>
      <c r="S10" s="20"/>
      <c r="T10" s="21"/>
    </row>
    <row r="11" spans="1:22" ht="13.5" customHeight="1">
      <c r="A11" s="22"/>
      <c r="B11" s="119" t="s">
        <v>60</v>
      </c>
      <c r="C11" s="120"/>
      <c r="D11" s="121"/>
      <c r="E11" s="89"/>
      <c r="F11" s="26" t="s">
        <v>25</v>
      </c>
      <c r="G11" s="26" t="s">
        <v>25</v>
      </c>
      <c r="H11" s="26" t="s">
        <v>25</v>
      </c>
      <c r="I11" s="26" t="s">
        <v>25</v>
      </c>
      <c r="J11" s="26" t="s">
        <v>25</v>
      </c>
      <c r="K11" s="26" t="s">
        <v>25</v>
      </c>
      <c r="L11" s="26" t="s">
        <v>25</v>
      </c>
      <c r="M11" s="26" t="s">
        <v>25</v>
      </c>
      <c r="N11" s="26" t="s">
        <v>25</v>
      </c>
      <c r="O11" s="26" t="s">
        <v>25</v>
      </c>
      <c r="P11" s="26" t="s">
        <v>25</v>
      </c>
      <c r="Q11" s="26"/>
      <c r="R11" s="26"/>
      <c r="S11" s="26"/>
      <c r="T11" s="27"/>
      <c r="V11" s="15"/>
    </row>
    <row r="12" spans="1:22" ht="13.5" customHeight="1">
      <c r="A12" s="22"/>
      <c r="B12" s="119" t="s">
        <v>62</v>
      </c>
      <c r="C12" s="120"/>
      <c r="D12" s="121"/>
      <c r="E12" s="89"/>
      <c r="F12" s="26" t="s">
        <v>25</v>
      </c>
      <c r="G12" s="26" t="s">
        <v>25</v>
      </c>
      <c r="H12" s="26" t="s">
        <v>25</v>
      </c>
      <c r="I12" s="26" t="s">
        <v>25</v>
      </c>
      <c r="J12" s="26" t="s">
        <v>25</v>
      </c>
      <c r="K12" s="26" t="s">
        <v>25</v>
      </c>
      <c r="L12" s="26" t="s">
        <v>25</v>
      </c>
      <c r="M12" s="26" t="s">
        <v>25</v>
      </c>
      <c r="N12" s="26" t="s">
        <v>25</v>
      </c>
      <c r="O12" s="26" t="s">
        <v>25</v>
      </c>
      <c r="P12" s="26" t="s">
        <v>25</v>
      </c>
      <c r="Q12" s="26"/>
      <c r="R12" s="26"/>
      <c r="S12" s="26"/>
      <c r="T12" s="27"/>
      <c r="V12" s="15"/>
    </row>
    <row r="13" spans="1:22" ht="13.5" customHeight="1">
      <c r="A13" s="22"/>
      <c r="B13" s="122"/>
      <c r="C13" s="123"/>
      <c r="D13" s="124"/>
      <c r="E13" s="89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</row>
    <row r="14" spans="1:22" ht="13.5" customHeight="1">
      <c r="A14" s="22"/>
      <c r="B14" s="23" t="s">
        <v>23</v>
      </c>
      <c r="C14" s="24"/>
      <c r="D14" s="25"/>
      <c r="E14" s="28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</row>
    <row r="15" spans="1:22" ht="15.6" customHeight="1">
      <c r="A15" s="22"/>
      <c r="B15" s="23" t="s">
        <v>24</v>
      </c>
      <c r="C15" s="24"/>
      <c r="D15" s="31"/>
      <c r="E15" s="9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</row>
    <row r="16" spans="1:22" ht="15.6" customHeight="1">
      <c r="A16" s="22"/>
      <c r="B16" s="23"/>
      <c r="C16" s="24"/>
      <c r="D16" s="31" t="s">
        <v>63</v>
      </c>
      <c r="E16" s="91"/>
      <c r="F16" s="26" t="s">
        <v>25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</row>
    <row r="17" spans="1:21" ht="15.6" customHeight="1">
      <c r="A17" s="22"/>
      <c r="B17" s="23"/>
      <c r="C17" s="24"/>
      <c r="D17" s="31" t="s">
        <v>65</v>
      </c>
      <c r="E17" s="91"/>
      <c r="F17" s="26"/>
      <c r="G17" s="26" t="s">
        <v>25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</row>
    <row r="18" spans="1:21" ht="15.6" customHeight="1">
      <c r="A18" s="22"/>
      <c r="B18" s="23"/>
      <c r="C18" s="24"/>
      <c r="D18" s="31" t="s">
        <v>66</v>
      </c>
      <c r="E18" s="91"/>
      <c r="F18" s="26"/>
      <c r="G18" s="26"/>
      <c r="H18" s="26" t="s">
        <v>25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</row>
    <row r="19" spans="1:21" ht="13.5" customHeight="1">
      <c r="A19" s="22"/>
      <c r="B19" s="23"/>
      <c r="C19" s="24"/>
      <c r="D19" s="31" t="s">
        <v>67</v>
      </c>
      <c r="E19" s="91"/>
      <c r="F19" s="26"/>
      <c r="G19" s="26"/>
      <c r="H19" s="26"/>
      <c r="I19" s="26" t="s">
        <v>25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</row>
    <row r="20" spans="1:21" ht="13.5" customHeight="1">
      <c r="A20" s="22"/>
      <c r="B20" s="23"/>
      <c r="C20" s="24"/>
      <c r="D20" s="31" t="s">
        <v>68</v>
      </c>
      <c r="E20" s="91"/>
      <c r="F20" s="26"/>
      <c r="G20" s="26"/>
      <c r="H20" s="26"/>
      <c r="I20" s="26"/>
      <c r="J20" s="26" t="s">
        <v>25</v>
      </c>
      <c r="K20" s="26"/>
      <c r="L20" s="26"/>
      <c r="M20" s="26"/>
      <c r="N20" s="26"/>
      <c r="O20" s="26"/>
      <c r="P20" s="26"/>
      <c r="Q20" s="26"/>
      <c r="R20" s="26"/>
      <c r="S20" s="26"/>
      <c r="T20" s="27"/>
    </row>
    <row r="21" spans="1:21" ht="13.5" customHeight="1">
      <c r="A21" s="22"/>
      <c r="B21" s="23"/>
      <c r="C21" s="24"/>
      <c r="D21" s="31" t="s">
        <v>69</v>
      </c>
      <c r="E21" s="91"/>
      <c r="F21" s="26"/>
      <c r="G21" s="26"/>
      <c r="H21" s="26"/>
      <c r="I21" s="26"/>
      <c r="J21" s="102"/>
      <c r="K21" s="26" t="s">
        <v>25</v>
      </c>
      <c r="L21" s="26"/>
      <c r="M21" s="26"/>
      <c r="N21" s="26"/>
      <c r="O21" s="26"/>
      <c r="P21" s="26"/>
      <c r="Q21" s="26"/>
      <c r="R21" s="26"/>
      <c r="S21" s="26"/>
      <c r="T21" s="27"/>
    </row>
    <row r="22" spans="1:21" ht="13.5" customHeight="1">
      <c r="A22" s="22"/>
      <c r="B22" s="23"/>
      <c r="C22" s="24"/>
      <c r="D22" s="31" t="s">
        <v>70</v>
      </c>
      <c r="E22" s="91"/>
      <c r="F22" s="26"/>
      <c r="G22" s="26"/>
      <c r="H22" s="26"/>
      <c r="I22" s="26"/>
      <c r="J22" s="102"/>
      <c r="K22" s="26"/>
      <c r="L22" s="26" t="s">
        <v>25</v>
      </c>
      <c r="M22" s="26"/>
      <c r="N22" s="26"/>
      <c r="O22" s="26"/>
      <c r="P22" s="26"/>
      <c r="Q22" s="26"/>
      <c r="R22" s="26"/>
      <c r="S22" s="26"/>
      <c r="T22" s="27"/>
    </row>
    <row r="23" spans="1:21" ht="13.5" customHeight="1">
      <c r="A23" s="22"/>
      <c r="B23" s="23"/>
      <c r="C23" s="24"/>
      <c r="D23" s="31"/>
      <c r="E23" s="91"/>
      <c r="F23" s="26"/>
      <c r="G23" s="26"/>
      <c r="H23" s="26"/>
      <c r="I23" s="26"/>
      <c r="J23" s="102"/>
      <c r="K23" s="26"/>
      <c r="L23" s="26"/>
      <c r="M23" s="26"/>
      <c r="N23" s="26"/>
      <c r="O23" s="26"/>
      <c r="P23" s="26"/>
      <c r="Q23" s="26"/>
      <c r="R23" s="26"/>
      <c r="S23" s="26"/>
      <c r="T23" s="27"/>
    </row>
    <row r="24" spans="1:21" ht="13.5" customHeight="1">
      <c r="A24" s="22"/>
      <c r="B24" s="23"/>
      <c r="C24" s="24"/>
      <c r="D24" s="31"/>
      <c r="E24" s="91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7"/>
    </row>
    <row r="25" spans="1:21" ht="13.5" customHeight="1">
      <c r="A25" s="22"/>
      <c r="B25" s="23" t="s">
        <v>26</v>
      </c>
      <c r="C25" s="24"/>
      <c r="D25" s="31"/>
      <c r="E25" s="91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7"/>
      <c r="U25" s="29"/>
    </row>
    <row r="26" spans="1:21" ht="13.5" customHeight="1">
      <c r="A26" s="22"/>
      <c r="B26" s="23"/>
      <c r="C26" s="24"/>
      <c r="D26" s="115" t="s">
        <v>64</v>
      </c>
      <c r="E26" s="116"/>
      <c r="F26" s="26"/>
      <c r="G26" s="26"/>
      <c r="H26" s="26"/>
      <c r="I26" s="26"/>
      <c r="J26" s="26"/>
      <c r="K26" s="26"/>
      <c r="L26" s="26"/>
      <c r="M26" s="26" t="s">
        <v>25</v>
      </c>
      <c r="N26" s="26"/>
      <c r="O26" s="26"/>
      <c r="P26" s="26"/>
      <c r="Q26" s="26"/>
      <c r="R26" s="26"/>
      <c r="S26" s="26"/>
      <c r="T26" s="27"/>
    </row>
    <row r="27" spans="1:21" ht="13.5" customHeight="1">
      <c r="A27" s="22"/>
      <c r="B27" s="23"/>
      <c r="C27" s="24"/>
      <c r="D27" s="115" t="s">
        <v>71</v>
      </c>
      <c r="E27" s="116"/>
      <c r="F27" s="26"/>
      <c r="G27" s="26"/>
      <c r="H27" s="26"/>
      <c r="I27" s="26"/>
      <c r="J27" s="26"/>
      <c r="K27" s="26"/>
      <c r="L27" s="26"/>
      <c r="M27" s="26"/>
      <c r="N27" s="26" t="s">
        <v>25</v>
      </c>
      <c r="O27" s="26"/>
      <c r="P27" s="26"/>
      <c r="Q27" s="26"/>
      <c r="R27" s="26"/>
      <c r="S27" s="26"/>
      <c r="T27" s="27"/>
    </row>
    <row r="28" spans="1:21" ht="13.5" customHeight="1">
      <c r="A28" s="22"/>
      <c r="B28" s="23"/>
      <c r="C28" s="24"/>
      <c r="D28" s="115" t="s">
        <v>72</v>
      </c>
      <c r="E28" s="116"/>
      <c r="F28" s="26"/>
      <c r="G28" s="26"/>
      <c r="H28" s="26"/>
      <c r="I28" s="26"/>
      <c r="J28" s="26"/>
      <c r="K28" s="26"/>
      <c r="L28" s="26"/>
      <c r="M28" s="26"/>
      <c r="N28" s="26"/>
      <c r="O28" s="26" t="s">
        <v>25</v>
      </c>
      <c r="P28" s="26"/>
      <c r="Q28" s="26"/>
      <c r="R28" s="26"/>
      <c r="S28" s="26"/>
      <c r="T28" s="27"/>
    </row>
    <row r="29" spans="1:21" ht="13.5" customHeight="1">
      <c r="A29" s="22"/>
      <c r="B29" s="23"/>
      <c r="C29" s="24"/>
      <c r="D29" s="115" t="s">
        <v>73</v>
      </c>
      <c r="E29" s="11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 t="s">
        <v>25</v>
      </c>
      <c r="Q29" s="26"/>
      <c r="R29" s="26"/>
      <c r="S29" s="26"/>
      <c r="T29" s="27"/>
    </row>
    <row r="30" spans="1:21" ht="13.5" customHeight="1">
      <c r="A30" s="22"/>
      <c r="B30" s="23"/>
      <c r="C30" s="24"/>
      <c r="D30" s="117"/>
      <c r="E30" s="118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7"/>
    </row>
    <row r="31" spans="1:21" ht="13.5" customHeight="1">
      <c r="A31" s="22"/>
      <c r="B31" s="23"/>
      <c r="C31" s="24"/>
      <c r="D31" s="117"/>
      <c r="E31" s="118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</row>
    <row r="32" spans="1:21" ht="13.5" customHeight="1">
      <c r="A32" s="22"/>
      <c r="B32" s="23"/>
      <c r="C32" s="24"/>
      <c r="D32" s="30"/>
      <c r="E32" s="90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7"/>
    </row>
    <row r="33" spans="1:20" ht="13.5" customHeight="1">
      <c r="A33" s="22"/>
      <c r="B33" s="23"/>
      <c r="C33" s="24"/>
      <c r="D33" s="31"/>
      <c r="E33" s="9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7"/>
    </row>
    <row r="34" spans="1:20" ht="13.5" customHeight="1">
      <c r="A34" s="22"/>
      <c r="B34" s="23"/>
      <c r="C34" s="24"/>
      <c r="D34" s="31"/>
      <c r="E34" s="9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7"/>
    </row>
    <row r="35" spans="1:20" ht="13.5" customHeight="1">
      <c r="A35" s="22"/>
      <c r="B35" s="23"/>
      <c r="C35" s="24"/>
      <c r="D35" s="31"/>
      <c r="E35" s="91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7"/>
    </row>
    <row r="36" spans="1:20" ht="13.5" customHeight="1">
      <c r="A36" s="22"/>
      <c r="B36" s="32"/>
      <c r="C36" s="24"/>
      <c r="D36" s="31"/>
      <c r="E36" s="91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7"/>
    </row>
    <row r="37" spans="1:20" ht="13.5" customHeight="1" thickBot="1">
      <c r="A37" s="33"/>
      <c r="B37" s="34"/>
      <c r="C37" s="35"/>
      <c r="D37" s="36"/>
      <c r="E37" s="91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8"/>
    </row>
    <row r="38" spans="1:20" ht="13.5" customHeight="1">
      <c r="A38" s="39" t="s">
        <v>27</v>
      </c>
      <c r="B38" s="40" t="s">
        <v>28</v>
      </c>
      <c r="C38" s="41"/>
      <c r="D38" s="42"/>
      <c r="E38" s="9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4"/>
    </row>
    <row r="39" spans="1:20" ht="13.5" customHeight="1">
      <c r="A39" s="45"/>
      <c r="B39" s="46"/>
      <c r="C39" s="47"/>
      <c r="D39" s="48"/>
      <c r="E39" s="93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7"/>
    </row>
    <row r="40" spans="1:20" ht="13.5" customHeight="1">
      <c r="A40" s="45"/>
      <c r="B40" s="46"/>
      <c r="C40" s="49"/>
      <c r="D40" s="50" t="s">
        <v>75</v>
      </c>
      <c r="E40" s="94"/>
      <c r="F40" s="26"/>
      <c r="G40" s="26" t="s">
        <v>25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7"/>
    </row>
    <row r="41" spans="1:20" ht="13.5" customHeight="1">
      <c r="A41" s="45"/>
      <c r="B41" s="46"/>
      <c r="C41" s="49"/>
      <c r="D41" s="50" t="s">
        <v>76</v>
      </c>
      <c r="E41" s="94"/>
      <c r="F41" s="26"/>
      <c r="G41" s="26"/>
      <c r="H41" s="26" t="s">
        <v>25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7"/>
    </row>
    <row r="42" spans="1:20" ht="13.5" customHeight="1">
      <c r="A42" s="45"/>
      <c r="B42" s="46"/>
      <c r="C42" s="49"/>
      <c r="D42" s="50" t="s">
        <v>77</v>
      </c>
      <c r="E42" s="94"/>
      <c r="F42" s="26"/>
      <c r="G42" s="26"/>
      <c r="I42" s="26" t="s">
        <v>25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7"/>
    </row>
    <row r="43" spans="1:20" ht="13.5" customHeight="1">
      <c r="A43" s="45"/>
      <c r="B43" s="46"/>
      <c r="C43" s="49"/>
      <c r="D43" s="50" t="s">
        <v>88</v>
      </c>
      <c r="E43" s="94"/>
      <c r="F43" s="26"/>
      <c r="G43" s="26"/>
      <c r="I43" s="26"/>
      <c r="J43" s="26" t="s">
        <v>25</v>
      </c>
      <c r="K43" s="26"/>
      <c r="L43" s="26"/>
      <c r="M43" s="26"/>
      <c r="N43" s="26"/>
      <c r="O43" s="26"/>
      <c r="P43" s="26"/>
      <c r="Q43" s="26"/>
      <c r="R43" s="26"/>
      <c r="S43" s="26"/>
      <c r="T43" s="27"/>
    </row>
    <row r="44" spans="1:20" ht="13.5" customHeight="1">
      <c r="A44" s="45"/>
      <c r="B44" s="46"/>
      <c r="C44" s="49"/>
      <c r="D44" s="50" t="s">
        <v>89</v>
      </c>
      <c r="E44" s="94"/>
      <c r="F44" s="26"/>
      <c r="G44" s="26"/>
      <c r="I44" s="26"/>
      <c r="J44" s="26"/>
      <c r="K44" s="26" t="s">
        <v>25</v>
      </c>
      <c r="L44" s="26"/>
      <c r="M44" s="26"/>
      <c r="N44" s="26"/>
      <c r="O44" s="26"/>
      <c r="P44" s="26"/>
      <c r="Q44" s="26"/>
      <c r="R44" s="26"/>
      <c r="S44" s="26"/>
      <c r="T44" s="27"/>
    </row>
    <row r="45" spans="1:20" ht="13.5" customHeight="1">
      <c r="A45" s="45"/>
      <c r="B45" s="46"/>
      <c r="C45" s="49"/>
      <c r="D45" s="50" t="s">
        <v>90</v>
      </c>
      <c r="E45" s="94"/>
      <c r="F45" s="26"/>
      <c r="G45" s="26"/>
      <c r="I45" s="26"/>
      <c r="J45" s="26"/>
      <c r="K45" s="26"/>
      <c r="L45" s="26" t="s">
        <v>25</v>
      </c>
      <c r="M45" s="26"/>
      <c r="N45" s="26"/>
      <c r="O45" s="26"/>
      <c r="P45" s="26"/>
      <c r="Q45" s="26"/>
      <c r="R45" s="26"/>
      <c r="S45" s="26"/>
      <c r="T45" s="27"/>
    </row>
    <row r="46" spans="1:20" ht="13.5" customHeight="1">
      <c r="A46" s="45"/>
      <c r="B46" s="46"/>
      <c r="C46" s="49"/>
      <c r="E46" s="94"/>
      <c r="F46" s="26"/>
      <c r="G46" s="26"/>
      <c r="I46" s="26"/>
      <c r="J46" s="26"/>
      <c r="K46" s="26"/>
      <c r="L46" s="26"/>
      <c r="N46" s="26"/>
      <c r="O46" s="26"/>
      <c r="P46" s="26"/>
      <c r="Q46" s="26"/>
      <c r="R46" s="26"/>
      <c r="S46" s="26"/>
      <c r="T46" s="27"/>
    </row>
    <row r="47" spans="1:20" ht="13.5" customHeight="1">
      <c r="A47" s="45"/>
      <c r="B47" s="46"/>
      <c r="C47" s="49"/>
      <c r="D47" s="50" t="s">
        <v>74</v>
      </c>
      <c r="E47" s="94"/>
      <c r="F47" s="26"/>
      <c r="G47" s="26"/>
      <c r="I47" s="26"/>
      <c r="J47" s="26"/>
      <c r="K47" s="26"/>
      <c r="L47" s="26"/>
      <c r="M47" s="26"/>
      <c r="N47" s="26" t="s">
        <v>25</v>
      </c>
      <c r="O47" s="26"/>
      <c r="P47" s="26"/>
      <c r="Q47" s="26"/>
      <c r="R47" s="26"/>
      <c r="S47" s="26"/>
      <c r="T47" s="27"/>
    </row>
    <row r="48" spans="1:20" ht="13.5" customHeight="1">
      <c r="A48" s="45"/>
      <c r="B48" s="46"/>
      <c r="C48" s="49"/>
      <c r="D48" s="50" t="s">
        <v>91</v>
      </c>
      <c r="E48" s="94"/>
      <c r="F48" s="26"/>
      <c r="G48" s="26"/>
      <c r="I48" s="26"/>
      <c r="J48" s="26"/>
      <c r="K48" s="26"/>
      <c r="L48" s="26"/>
      <c r="M48" s="26"/>
      <c r="N48" s="26"/>
      <c r="O48" s="26" t="s">
        <v>25</v>
      </c>
      <c r="P48" s="26"/>
      <c r="Q48" s="26"/>
      <c r="R48" s="26"/>
      <c r="S48" s="26"/>
      <c r="T48" s="27"/>
    </row>
    <row r="49" spans="1:20" ht="13.5" customHeight="1">
      <c r="A49" s="45"/>
      <c r="B49" s="46"/>
      <c r="C49" s="49"/>
      <c r="D49" s="50" t="s">
        <v>92</v>
      </c>
      <c r="E49" s="94"/>
      <c r="F49" s="26"/>
      <c r="G49" s="26"/>
      <c r="I49" s="26"/>
      <c r="J49" s="26"/>
      <c r="K49" s="26"/>
      <c r="L49" s="26"/>
      <c r="M49" s="26"/>
      <c r="N49" s="26"/>
      <c r="O49" s="26"/>
      <c r="P49" s="26" t="s">
        <v>25</v>
      </c>
      <c r="Q49" s="26"/>
      <c r="R49" s="26"/>
      <c r="S49" s="26"/>
      <c r="T49" s="27"/>
    </row>
    <row r="50" spans="1:20" ht="13.5" customHeight="1">
      <c r="A50" s="45"/>
      <c r="B50" s="46"/>
      <c r="C50" s="49"/>
      <c r="D50" s="48"/>
      <c r="E50" s="94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7"/>
    </row>
    <row r="51" spans="1:20" ht="13.5" customHeight="1">
      <c r="A51" s="45"/>
      <c r="B51" s="46" t="s">
        <v>29</v>
      </c>
      <c r="C51" s="49"/>
      <c r="D51" s="50"/>
      <c r="E51" s="94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7"/>
    </row>
    <row r="52" spans="1:20" ht="13.5" customHeight="1">
      <c r="A52" s="45"/>
      <c r="B52" s="46"/>
      <c r="C52" s="49"/>
      <c r="D52" s="50" t="s">
        <v>86</v>
      </c>
      <c r="E52" s="94"/>
      <c r="F52" s="26" t="s">
        <v>25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7"/>
    </row>
    <row r="53" spans="1:20" ht="13.5" customHeight="1">
      <c r="A53" s="45"/>
      <c r="B53" s="46"/>
      <c r="C53" s="49"/>
      <c r="D53" s="50" t="s">
        <v>87</v>
      </c>
      <c r="E53" s="94"/>
      <c r="F53" s="26"/>
      <c r="G53" s="26"/>
      <c r="H53" s="26"/>
      <c r="I53" s="26"/>
      <c r="J53" s="26"/>
      <c r="K53" s="26"/>
      <c r="L53" s="26"/>
      <c r="M53" s="26" t="s">
        <v>25</v>
      </c>
      <c r="N53" s="26"/>
      <c r="O53" s="26"/>
      <c r="P53" s="26"/>
      <c r="Q53" s="26"/>
      <c r="R53" s="26"/>
      <c r="S53" s="26"/>
      <c r="T53" s="27"/>
    </row>
    <row r="54" spans="1:20" ht="13.5" customHeight="1">
      <c r="A54" s="45"/>
      <c r="B54" s="46"/>
      <c r="C54" s="49"/>
      <c r="D54" s="50"/>
      <c r="E54" s="94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7"/>
    </row>
    <row r="55" spans="1:20" ht="13.5" customHeight="1">
      <c r="A55" s="45"/>
      <c r="B55" s="46"/>
      <c r="C55" s="49"/>
      <c r="D55" s="50"/>
      <c r="E55" s="94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7"/>
    </row>
    <row r="56" spans="1:20" ht="13.5" customHeight="1">
      <c r="A56" s="45"/>
      <c r="B56" s="46" t="s">
        <v>30</v>
      </c>
      <c r="C56" s="49"/>
      <c r="D56" s="50"/>
      <c r="E56" s="94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7"/>
    </row>
    <row r="57" spans="1:20" ht="13.5" customHeight="1">
      <c r="A57" s="45"/>
      <c r="B57" s="46"/>
      <c r="C57" s="49"/>
      <c r="D57" s="48"/>
      <c r="E57" s="94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  <row r="58" spans="1:20" ht="13.5" customHeight="1" thickBot="1">
      <c r="A58" s="51"/>
      <c r="B58" s="52"/>
      <c r="C58" s="53"/>
      <c r="D58" s="54"/>
      <c r="E58" s="9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6"/>
    </row>
    <row r="59" spans="1:20" ht="13.5" customHeight="1">
      <c r="A59" s="45" t="s">
        <v>31</v>
      </c>
      <c r="B59" s="105" t="s">
        <v>32</v>
      </c>
      <c r="C59" s="106"/>
      <c r="D59" s="106"/>
      <c r="E59" s="57"/>
      <c r="F59" s="58" t="s">
        <v>94</v>
      </c>
      <c r="G59" s="58" t="s">
        <v>33</v>
      </c>
      <c r="H59" s="58" t="s">
        <v>33</v>
      </c>
      <c r="I59" s="58" t="s">
        <v>33</v>
      </c>
      <c r="J59" s="58" t="s">
        <v>33</v>
      </c>
      <c r="K59" s="58" t="s">
        <v>33</v>
      </c>
      <c r="L59" s="58" t="s">
        <v>33</v>
      </c>
      <c r="M59" s="58" t="s">
        <v>94</v>
      </c>
      <c r="N59" s="58" t="s">
        <v>33</v>
      </c>
      <c r="O59" s="58" t="s">
        <v>33</v>
      </c>
      <c r="P59" s="58" t="s">
        <v>33</v>
      </c>
      <c r="Q59" s="58"/>
      <c r="R59" s="58"/>
      <c r="S59" s="58"/>
      <c r="T59" s="59"/>
    </row>
    <row r="60" spans="1:20" ht="13.5" customHeight="1">
      <c r="A60" s="45"/>
      <c r="B60" s="107" t="s">
        <v>34</v>
      </c>
      <c r="C60" s="108"/>
      <c r="D60" s="108"/>
      <c r="E60" s="60"/>
      <c r="F60" s="61" t="s">
        <v>93</v>
      </c>
      <c r="G60" s="61" t="s">
        <v>93</v>
      </c>
      <c r="H60" s="61" t="s">
        <v>93</v>
      </c>
      <c r="I60" s="61" t="s">
        <v>93</v>
      </c>
      <c r="J60" s="61" t="s">
        <v>93</v>
      </c>
      <c r="K60" s="61" t="s">
        <v>93</v>
      </c>
      <c r="L60" s="61" t="s">
        <v>93</v>
      </c>
      <c r="M60" s="61" t="s">
        <v>93</v>
      </c>
      <c r="N60" s="61" t="s">
        <v>93</v>
      </c>
      <c r="O60" s="61" t="s">
        <v>93</v>
      </c>
      <c r="P60" s="61" t="s">
        <v>93</v>
      </c>
      <c r="Q60" s="61"/>
      <c r="R60" s="61"/>
      <c r="S60" s="61"/>
      <c r="T60" s="62"/>
    </row>
    <row r="61" spans="1:20" ht="13.5" customHeight="1">
      <c r="A61" s="45"/>
      <c r="B61" s="109" t="s">
        <v>35</v>
      </c>
      <c r="C61" s="110"/>
      <c r="D61" s="110"/>
      <c r="E61" s="63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5"/>
    </row>
    <row r="62" spans="1:20" ht="10.8" thickBot="1">
      <c r="A62" s="51"/>
      <c r="B62" s="111" t="s">
        <v>36</v>
      </c>
      <c r="C62" s="112"/>
      <c r="D62" s="112"/>
      <c r="E62" s="66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8"/>
    </row>
    <row r="63" spans="1:20">
      <c r="A63" s="69"/>
    </row>
    <row r="66" spans="1:3">
      <c r="A66" s="2" t="s">
        <v>4</v>
      </c>
      <c r="B66" s="3" t="s">
        <v>5</v>
      </c>
    </row>
    <row r="67" spans="1:3">
      <c r="B67" s="70" t="s">
        <v>37</v>
      </c>
      <c r="C67" s="71"/>
    </row>
  </sheetData>
  <mergeCells count="38">
    <mergeCell ref="A1:B1"/>
    <mergeCell ref="C1:E1"/>
    <mergeCell ref="F1:K1"/>
    <mergeCell ref="L1:T1"/>
    <mergeCell ref="A2:B2"/>
    <mergeCell ref="C2:E2"/>
    <mergeCell ref="F2:K2"/>
    <mergeCell ref="L2:T2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B59:D59"/>
    <mergeCell ref="B60:D60"/>
    <mergeCell ref="B61:D61"/>
    <mergeCell ref="B62:D62"/>
    <mergeCell ref="A8:D8"/>
    <mergeCell ref="D26:E26"/>
    <mergeCell ref="D27:E27"/>
    <mergeCell ref="D28:E28"/>
    <mergeCell ref="D30:E30"/>
    <mergeCell ref="D31:E31"/>
    <mergeCell ref="B11:D11"/>
    <mergeCell ref="B13:D13"/>
    <mergeCell ref="B10:D10"/>
    <mergeCell ref="B12:D12"/>
    <mergeCell ref="D29:E29"/>
  </mergeCells>
  <dataValidations count="3">
    <dataValidation type="list" allowBlank="1" showInputMessage="1" showErrorMessage="1" sqref="WVN983099:WWB983099 JB59:JP59 SX59:TL59 ACT59:ADH59 AMP59:AND59 AWL59:AWZ59 BGH59:BGV59 BQD59:BQR59 BZZ59:CAN59 CJV59:CKJ59 CTR59:CUF59 DDN59:DEB59 DNJ59:DNX59 DXF59:DXT59 EHB59:EHP59 EQX59:ERL59 FAT59:FBH59 FKP59:FLD59 FUL59:FUZ59 GEH59:GEV59 GOD59:GOR59 GXZ59:GYN59 HHV59:HIJ59 HRR59:HSF59 IBN59:ICB59 ILJ59:ILX59 IVF59:IVT59 JFB59:JFP59 JOX59:JPL59 JYT59:JZH59 KIP59:KJD59 KSL59:KSZ59 LCH59:LCV59 LMD59:LMR59 LVZ59:LWN59 MFV59:MGJ59 MPR59:MQF59 MZN59:NAB59 NJJ59:NJX59 NTF59:NTT59 ODB59:ODP59 OMX59:ONL59 OWT59:OXH59 PGP59:PHD59 PQL59:PQZ59 QAH59:QAV59 QKD59:QKR59 QTZ59:QUN59 RDV59:REJ59 RNR59:ROF59 RXN59:RYB59 SHJ59:SHX59 SRF59:SRT59 TBB59:TBP59 TKX59:TLL59 TUT59:TVH59 UEP59:UFD59 UOL59:UOZ59 UYH59:UYV59 VID59:VIR59 VRZ59:VSN59 WBV59:WCJ59 WLR59:WMF59 WVN59:WWB59 F65595:T65595 JB65595:JP65595 SX65595:TL65595 ACT65595:ADH65595 AMP65595:AND65595 AWL65595:AWZ65595 BGH65595:BGV65595 BQD65595:BQR65595 BZZ65595:CAN65595 CJV65595:CKJ65595 CTR65595:CUF65595 DDN65595:DEB65595 DNJ65595:DNX65595 DXF65595:DXT65595 EHB65595:EHP65595 EQX65595:ERL65595 FAT65595:FBH65595 FKP65595:FLD65595 FUL65595:FUZ65595 GEH65595:GEV65595 GOD65595:GOR65595 GXZ65595:GYN65595 HHV65595:HIJ65595 HRR65595:HSF65595 IBN65595:ICB65595 ILJ65595:ILX65595 IVF65595:IVT65595 JFB65595:JFP65595 JOX65595:JPL65595 JYT65595:JZH65595 KIP65595:KJD65595 KSL65595:KSZ65595 LCH65595:LCV65595 LMD65595:LMR65595 LVZ65595:LWN65595 MFV65595:MGJ65595 MPR65595:MQF65595 MZN65595:NAB65595 NJJ65595:NJX65595 NTF65595:NTT65595 ODB65595:ODP65595 OMX65595:ONL65595 OWT65595:OXH65595 PGP65595:PHD65595 PQL65595:PQZ65595 QAH65595:QAV65595 QKD65595:QKR65595 QTZ65595:QUN65595 RDV65595:REJ65595 RNR65595:ROF65595 RXN65595:RYB65595 SHJ65595:SHX65595 SRF65595:SRT65595 TBB65595:TBP65595 TKX65595:TLL65595 TUT65595:TVH65595 UEP65595:UFD65595 UOL65595:UOZ65595 UYH65595:UYV65595 VID65595:VIR65595 VRZ65595:VSN65595 WBV65595:WCJ65595 WLR65595:WMF65595 WVN65595:WWB65595 F131131:T131131 JB131131:JP131131 SX131131:TL131131 ACT131131:ADH131131 AMP131131:AND131131 AWL131131:AWZ131131 BGH131131:BGV131131 BQD131131:BQR131131 BZZ131131:CAN131131 CJV131131:CKJ131131 CTR131131:CUF131131 DDN131131:DEB131131 DNJ131131:DNX131131 DXF131131:DXT131131 EHB131131:EHP131131 EQX131131:ERL131131 FAT131131:FBH131131 FKP131131:FLD131131 FUL131131:FUZ131131 GEH131131:GEV131131 GOD131131:GOR131131 GXZ131131:GYN131131 HHV131131:HIJ131131 HRR131131:HSF131131 IBN131131:ICB131131 ILJ131131:ILX131131 IVF131131:IVT131131 JFB131131:JFP131131 JOX131131:JPL131131 JYT131131:JZH131131 KIP131131:KJD131131 KSL131131:KSZ131131 LCH131131:LCV131131 LMD131131:LMR131131 LVZ131131:LWN131131 MFV131131:MGJ131131 MPR131131:MQF131131 MZN131131:NAB131131 NJJ131131:NJX131131 NTF131131:NTT131131 ODB131131:ODP131131 OMX131131:ONL131131 OWT131131:OXH131131 PGP131131:PHD131131 PQL131131:PQZ131131 QAH131131:QAV131131 QKD131131:QKR131131 QTZ131131:QUN131131 RDV131131:REJ131131 RNR131131:ROF131131 RXN131131:RYB131131 SHJ131131:SHX131131 SRF131131:SRT131131 TBB131131:TBP131131 TKX131131:TLL131131 TUT131131:TVH131131 UEP131131:UFD131131 UOL131131:UOZ131131 UYH131131:UYV131131 VID131131:VIR131131 VRZ131131:VSN131131 WBV131131:WCJ131131 WLR131131:WMF131131 WVN131131:WWB131131 F196667:T196667 JB196667:JP196667 SX196667:TL196667 ACT196667:ADH196667 AMP196667:AND196667 AWL196667:AWZ196667 BGH196667:BGV196667 BQD196667:BQR196667 BZZ196667:CAN196667 CJV196667:CKJ196667 CTR196667:CUF196667 DDN196667:DEB196667 DNJ196667:DNX196667 DXF196667:DXT196667 EHB196667:EHP196667 EQX196667:ERL196667 FAT196667:FBH196667 FKP196667:FLD196667 FUL196667:FUZ196667 GEH196667:GEV196667 GOD196667:GOR196667 GXZ196667:GYN196667 HHV196667:HIJ196667 HRR196667:HSF196667 IBN196667:ICB196667 ILJ196667:ILX196667 IVF196667:IVT196667 JFB196667:JFP196667 JOX196667:JPL196667 JYT196667:JZH196667 KIP196667:KJD196667 KSL196667:KSZ196667 LCH196667:LCV196667 LMD196667:LMR196667 LVZ196667:LWN196667 MFV196667:MGJ196667 MPR196667:MQF196667 MZN196667:NAB196667 NJJ196667:NJX196667 NTF196667:NTT196667 ODB196667:ODP196667 OMX196667:ONL196667 OWT196667:OXH196667 PGP196667:PHD196667 PQL196667:PQZ196667 QAH196667:QAV196667 QKD196667:QKR196667 QTZ196667:QUN196667 RDV196667:REJ196667 RNR196667:ROF196667 RXN196667:RYB196667 SHJ196667:SHX196667 SRF196667:SRT196667 TBB196667:TBP196667 TKX196667:TLL196667 TUT196667:TVH196667 UEP196667:UFD196667 UOL196667:UOZ196667 UYH196667:UYV196667 VID196667:VIR196667 VRZ196667:VSN196667 WBV196667:WCJ196667 WLR196667:WMF196667 WVN196667:WWB196667 F262203:T262203 JB262203:JP262203 SX262203:TL262203 ACT262203:ADH262203 AMP262203:AND262203 AWL262203:AWZ262203 BGH262203:BGV262203 BQD262203:BQR262203 BZZ262203:CAN262203 CJV262203:CKJ262203 CTR262203:CUF262203 DDN262203:DEB262203 DNJ262203:DNX262203 DXF262203:DXT262203 EHB262203:EHP262203 EQX262203:ERL262203 FAT262203:FBH262203 FKP262203:FLD262203 FUL262203:FUZ262203 GEH262203:GEV262203 GOD262203:GOR262203 GXZ262203:GYN262203 HHV262203:HIJ262203 HRR262203:HSF262203 IBN262203:ICB262203 ILJ262203:ILX262203 IVF262203:IVT262203 JFB262203:JFP262203 JOX262203:JPL262203 JYT262203:JZH262203 KIP262203:KJD262203 KSL262203:KSZ262203 LCH262203:LCV262203 LMD262203:LMR262203 LVZ262203:LWN262203 MFV262203:MGJ262203 MPR262203:MQF262203 MZN262203:NAB262203 NJJ262203:NJX262203 NTF262203:NTT262203 ODB262203:ODP262203 OMX262203:ONL262203 OWT262203:OXH262203 PGP262203:PHD262203 PQL262203:PQZ262203 QAH262203:QAV262203 QKD262203:QKR262203 QTZ262203:QUN262203 RDV262203:REJ262203 RNR262203:ROF262203 RXN262203:RYB262203 SHJ262203:SHX262203 SRF262203:SRT262203 TBB262203:TBP262203 TKX262203:TLL262203 TUT262203:TVH262203 UEP262203:UFD262203 UOL262203:UOZ262203 UYH262203:UYV262203 VID262203:VIR262203 VRZ262203:VSN262203 WBV262203:WCJ262203 WLR262203:WMF262203 WVN262203:WWB262203 F327739:T327739 JB327739:JP327739 SX327739:TL327739 ACT327739:ADH327739 AMP327739:AND327739 AWL327739:AWZ327739 BGH327739:BGV327739 BQD327739:BQR327739 BZZ327739:CAN327739 CJV327739:CKJ327739 CTR327739:CUF327739 DDN327739:DEB327739 DNJ327739:DNX327739 DXF327739:DXT327739 EHB327739:EHP327739 EQX327739:ERL327739 FAT327739:FBH327739 FKP327739:FLD327739 FUL327739:FUZ327739 GEH327739:GEV327739 GOD327739:GOR327739 GXZ327739:GYN327739 HHV327739:HIJ327739 HRR327739:HSF327739 IBN327739:ICB327739 ILJ327739:ILX327739 IVF327739:IVT327739 JFB327739:JFP327739 JOX327739:JPL327739 JYT327739:JZH327739 KIP327739:KJD327739 KSL327739:KSZ327739 LCH327739:LCV327739 LMD327739:LMR327739 LVZ327739:LWN327739 MFV327739:MGJ327739 MPR327739:MQF327739 MZN327739:NAB327739 NJJ327739:NJX327739 NTF327739:NTT327739 ODB327739:ODP327739 OMX327739:ONL327739 OWT327739:OXH327739 PGP327739:PHD327739 PQL327739:PQZ327739 QAH327739:QAV327739 QKD327739:QKR327739 QTZ327739:QUN327739 RDV327739:REJ327739 RNR327739:ROF327739 RXN327739:RYB327739 SHJ327739:SHX327739 SRF327739:SRT327739 TBB327739:TBP327739 TKX327739:TLL327739 TUT327739:TVH327739 UEP327739:UFD327739 UOL327739:UOZ327739 UYH327739:UYV327739 VID327739:VIR327739 VRZ327739:VSN327739 WBV327739:WCJ327739 WLR327739:WMF327739 WVN327739:WWB327739 F393275:T393275 JB393275:JP393275 SX393275:TL393275 ACT393275:ADH393275 AMP393275:AND393275 AWL393275:AWZ393275 BGH393275:BGV393275 BQD393275:BQR393275 BZZ393275:CAN393275 CJV393275:CKJ393275 CTR393275:CUF393275 DDN393275:DEB393275 DNJ393275:DNX393275 DXF393275:DXT393275 EHB393275:EHP393275 EQX393275:ERL393275 FAT393275:FBH393275 FKP393275:FLD393275 FUL393275:FUZ393275 GEH393275:GEV393275 GOD393275:GOR393275 GXZ393275:GYN393275 HHV393275:HIJ393275 HRR393275:HSF393275 IBN393275:ICB393275 ILJ393275:ILX393275 IVF393275:IVT393275 JFB393275:JFP393275 JOX393275:JPL393275 JYT393275:JZH393275 KIP393275:KJD393275 KSL393275:KSZ393275 LCH393275:LCV393275 LMD393275:LMR393275 LVZ393275:LWN393275 MFV393275:MGJ393275 MPR393275:MQF393275 MZN393275:NAB393275 NJJ393275:NJX393275 NTF393275:NTT393275 ODB393275:ODP393275 OMX393275:ONL393275 OWT393275:OXH393275 PGP393275:PHD393275 PQL393275:PQZ393275 QAH393275:QAV393275 QKD393275:QKR393275 QTZ393275:QUN393275 RDV393275:REJ393275 RNR393275:ROF393275 RXN393275:RYB393275 SHJ393275:SHX393275 SRF393275:SRT393275 TBB393275:TBP393275 TKX393275:TLL393275 TUT393275:TVH393275 UEP393275:UFD393275 UOL393275:UOZ393275 UYH393275:UYV393275 VID393275:VIR393275 VRZ393275:VSN393275 WBV393275:WCJ393275 WLR393275:WMF393275 WVN393275:WWB393275 F458811:T458811 JB458811:JP458811 SX458811:TL458811 ACT458811:ADH458811 AMP458811:AND458811 AWL458811:AWZ458811 BGH458811:BGV458811 BQD458811:BQR458811 BZZ458811:CAN458811 CJV458811:CKJ458811 CTR458811:CUF458811 DDN458811:DEB458811 DNJ458811:DNX458811 DXF458811:DXT458811 EHB458811:EHP458811 EQX458811:ERL458811 FAT458811:FBH458811 FKP458811:FLD458811 FUL458811:FUZ458811 GEH458811:GEV458811 GOD458811:GOR458811 GXZ458811:GYN458811 HHV458811:HIJ458811 HRR458811:HSF458811 IBN458811:ICB458811 ILJ458811:ILX458811 IVF458811:IVT458811 JFB458811:JFP458811 JOX458811:JPL458811 JYT458811:JZH458811 KIP458811:KJD458811 KSL458811:KSZ458811 LCH458811:LCV458811 LMD458811:LMR458811 LVZ458811:LWN458811 MFV458811:MGJ458811 MPR458811:MQF458811 MZN458811:NAB458811 NJJ458811:NJX458811 NTF458811:NTT458811 ODB458811:ODP458811 OMX458811:ONL458811 OWT458811:OXH458811 PGP458811:PHD458811 PQL458811:PQZ458811 QAH458811:QAV458811 QKD458811:QKR458811 QTZ458811:QUN458811 RDV458811:REJ458811 RNR458811:ROF458811 RXN458811:RYB458811 SHJ458811:SHX458811 SRF458811:SRT458811 TBB458811:TBP458811 TKX458811:TLL458811 TUT458811:TVH458811 UEP458811:UFD458811 UOL458811:UOZ458811 UYH458811:UYV458811 VID458811:VIR458811 VRZ458811:VSN458811 WBV458811:WCJ458811 WLR458811:WMF458811 WVN458811:WWB458811 F524347:T524347 JB524347:JP524347 SX524347:TL524347 ACT524347:ADH524347 AMP524347:AND524347 AWL524347:AWZ524347 BGH524347:BGV524347 BQD524347:BQR524347 BZZ524347:CAN524347 CJV524347:CKJ524347 CTR524347:CUF524347 DDN524347:DEB524347 DNJ524347:DNX524347 DXF524347:DXT524347 EHB524347:EHP524347 EQX524347:ERL524347 FAT524347:FBH524347 FKP524347:FLD524347 FUL524347:FUZ524347 GEH524347:GEV524347 GOD524347:GOR524347 GXZ524347:GYN524347 HHV524347:HIJ524347 HRR524347:HSF524347 IBN524347:ICB524347 ILJ524347:ILX524347 IVF524347:IVT524347 JFB524347:JFP524347 JOX524347:JPL524347 JYT524347:JZH524347 KIP524347:KJD524347 KSL524347:KSZ524347 LCH524347:LCV524347 LMD524347:LMR524347 LVZ524347:LWN524347 MFV524347:MGJ524347 MPR524347:MQF524347 MZN524347:NAB524347 NJJ524347:NJX524347 NTF524347:NTT524347 ODB524347:ODP524347 OMX524347:ONL524347 OWT524347:OXH524347 PGP524347:PHD524347 PQL524347:PQZ524347 QAH524347:QAV524347 QKD524347:QKR524347 QTZ524347:QUN524347 RDV524347:REJ524347 RNR524347:ROF524347 RXN524347:RYB524347 SHJ524347:SHX524347 SRF524347:SRT524347 TBB524347:TBP524347 TKX524347:TLL524347 TUT524347:TVH524347 UEP524347:UFD524347 UOL524347:UOZ524347 UYH524347:UYV524347 VID524347:VIR524347 VRZ524347:VSN524347 WBV524347:WCJ524347 WLR524347:WMF524347 WVN524347:WWB524347 F589883:T589883 JB589883:JP589883 SX589883:TL589883 ACT589883:ADH589883 AMP589883:AND589883 AWL589883:AWZ589883 BGH589883:BGV589883 BQD589883:BQR589883 BZZ589883:CAN589883 CJV589883:CKJ589883 CTR589883:CUF589883 DDN589883:DEB589883 DNJ589883:DNX589883 DXF589883:DXT589883 EHB589883:EHP589883 EQX589883:ERL589883 FAT589883:FBH589883 FKP589883:FLD589883 FUL589883:FUZ589883 GEH589883:GEV589883 GOD589883:GOR589883 GXZ589883:GYN589883 HHV589883:HIJ589883 HRR589883:HSF589883 IBN589883:ICB589883 ILJ589883:ILX589883 IVF589883:IVT589883 JFB589883:JFP589883 JOX589883:JPL589883 JYT589883:JZH589883 KIP589883:KJD589883 KSL589883:KSZ589883 LCH589883:LCV589883 LMD589883:LMR589883 LVZ589883:LWN589883 MFV589883:MGJ589883 MPR589883:MQF589883 MZN589883:NAB589883 NJJ589883:NJX589883 NTF589883:NTT589883 ODB589883:ODP589883 OMX589883:ONL589883 OWT589883:OXH589883 PGP589883:PHD589883 PQL589883:PQZ589883 QAH589883:QAV589883 QKD589883:QKR589883 QTZ589883:QUN589883 RDV589883:REJ589883 RNR589883:ROF589883 RXN589883:RYB589883 SHJ589883:SHX589883 SRF589883:SRT589883 TBB589883:TBP589883 TKX589883:TLL589883 TUT589883:TVH589883 UEP589883:UFD589883 UOL589883:UOZ589883 UYH589883:UYV589883 VID589883:VIR589883 VRZ589883:VSN589883 WBV589883:WCJ589883 WLR589883:WMF589883 WVN589883:WWB589883 F655419:T655419 JB655419:JP655419 SX655419:TL655419 ACT655419:ADH655419 AMP655419:AND655419 AWL655419:AWZ655419 BGH655419:BGV655419 BQD655419:BQR655419 BZZ655419:CAN655419 CJV655419:CKJ655419 CTR655419:CUF655419 DDN655419:DEB655419 DNJ655419:DNX655419 DXF655419:DXT655419 EHB655419:EHP655419 EQX655419:ERL655419 FAT655419:FBH655419 FKP655419:FLD655419 FUL655419:FUZ655419 GEH655419:GEV655419 GOD655419:GOR655419 GXZ655419:GYN655419 HHV655419:HIJ655419 HRR655419:HSF655419 IBN655419:ICB655419 ILJ655419:ILX655419 IVF655419:IVT655419 JFB655419:JFP655419 JOX655419:JPL655419 JYT655419:JZH655419 KIP655419:KJD655419 KSL655419:KSZ655419 LCH655419:LCV655419 LMD655419:LMR655419 LVZ655419:LWN655419 MFV655419:MGJ655419 MPR655419:MQF655419 MZN655419:NAB655419 NJJ655419:NJX655419 NTF655419:NTT655419 ODB655419:ODP655419 OMX655419:ONL655419 OWT655419:OXH655419 PGP655419:PHD655419 PQL655419:PQZ655419 QAH655419:QAV655419 QKD655419:QKR655419 QTZ655419:QUN655419 RDV655419:REJ655419 RNR655419:ROF655419 RXN655419:RYB655419 SHJ655419:SHX655419 SRF655419:SRT655419 TBB655419:TBP655419 TKX655419:TLL655419 TUT655419:TVH655419 UEP655419:UFD655419 UOL655419:UOZ655419 UYH655419:UYV655419 VID655419:VIR655419 VRZ655419:VSN655419 WBV655419:WCJ655419 WLR655419:WMF655419 WVN655419:WWB655419 F720955:T720955 JB720955:JP720955 SX720955:TL720955 ACT720955:ADH720955 AMP720955:AND720955 AWL720955:AWZ720955 BGH720955:BGV720955 BQD720955:BQR720955 BZZ720955:CAN720955 CJV720955:CKJ720955 CTR720955:CUF720955 DDN720955:DEB720955 DNJ720955:DNX720955 DXF720955:DXT720955 EHB720955:EHP720955 EQX720955:ERL720955 FAT720955:FBH720955 FKP720955:FLD720955 FUL720955:FUZ720955 GEH720955:GEV720955 GOD720955:GOR720955 GXZ720955:GYN720955 HHV720955:HIJ720955 HRR720955:HSF720955 IBN720955:ICB720955 ILJ720955:ILX720955 IVF720955:IVT720955 JFB720955:JFP720955 JOX720955:JPL720955 JYT720955:JZH720955 KIP720955:KJD720955 KSL720955:KSZ720955 LCH720955:LCV720955 LMD720955:LMR720955 LVZ720955:LWN720955 MFV720955:MGJ720955 MPR720955:MQF720955 MZN720955:NAB720955 NJJ720955:NJX720955 NTF720955:NTT720955 ODB720955:ODP720955 OMX720955:ONL720955 OWT720955:OXH720955 PGP720955:PHD720955 PQL720955:PQZ720955 QAH720955:QAV720955 QKD720955:QKR720955 QTZ720955:QUN720955 RDV720955:REJ720955 RNR720955:ROF720955 RXN720955:RYB720955 SHJ720955:SHX720955 SRF720955:SRT720955 TBB720955:TBP720955 TKX720955:TLL720955 TUT720955:TVH720955 UEP720955:UFD720955 UOL720955:UOZ720955 UYH720955:UYV720955 VID720955:VIR720955 VRZ720955:VSN720955 WBV720955:WCJ720955 WLR720955:WMF720955 WVN720955:WWB720955 F786491:T786491 JB786491:JP786491 SX786491:TL786491 ACT786491:ADH786491 AMP786491:AND786491 AWL786491:AWZ786491 BGH786491:BGV786491 BQD786491:BQR786491 BZZ786491:CAN786491 CJV786491:CKJ786491 CTR786491:CUF786491 DDN786491:DEB786491 DNJ786491:DNX786491 DXF786491:DXT786491 EHB786491:EHP786491 EQX786491:ERL786491 FAT786491:FBH786491 FKP786491:FLD786491 FUL786491:FUZ786491 GEH786491:GEV786491 GOD786491:GOR786491 GXZ786491:GYN786491 HHV786491:HIJ786491 HRR786491:HSF786491 IBN786491:ICB786491 ILJ786491:ILX786491 IVF786491:IVT786491 JFB786491:JFP786491 JOX786491:JPL786491 JYT786491:JZH786491 KIP786491:KJD786491 KSL786491:KSZ786491 LCH786491:LCV786491 LMD786491:LMR786491 LVZ786491:LWN786491 MFV786491:MGJ786491 MPR786491:MQF786491 MZN786491:NAB786491 NJJ786491:NJX786491 NTF786491:NTT786491 ODB786491:ODP786491 OMX786491:ONL786491 OWT786491:OXH786491 PGP786491:PHD786491 PQL786491:PQZ786491 QAH786491:QAV786491 QKD786491:QKR786491 QTZ786491:QUN786491 RDV786491:REJ786491 RNR786491:ROF786491 RXN786491:RYB786491 SHJ786491:SHX786491 SRF786491:SRT786491 TBB786491:TBP786491 TKX786491:TLL786491 TUT786491:TVH786491 UEP786491:UFD786491 UOL786491:UOZ786491 UYH786491:UYV786491 VID786491:VIR786491 VRZ786491:VSN786491 WBV786491:WCJ786491 WLR786491:WMF786491 WVN786491:WWB786491 F852027:T852027 JB852027:JP852027 SX852027:TL852027 ACT852027:ADH852027 AMP852027:AND852027 AWL852027:AWZ852027 BGH852027:BGV852027 BQD852027:BQR852027 BZZ852027:CAN852027 CJV852027:CKJ852027 CTR852027:CUF852027 DDN852027:DEB852027 DNJ852027:DNX852027 DXF852027:DXT852027 EHB852027:EHP852027 EQX852027:ERL852027 FAT852027:FBH852027 FKP852027:FLD852027 FUL852027:FUZ852027 GEH852027:GEV852027 GOD852027:GOR852027 GXZ852027:GYN852027 HHV852027:HIJ852027 HRR852027:HSF852027 IBN852027:ICB852027 ILJ852027:ILX852027 IVF852027:IVT852027 JFB852027:JFP852027 JOX852027:JPL852027 JYT852027:JZH852027 KIP852027:KJD852027 KSL852027:KSZ852027 LCH852027:LCV852027 LMD852027:LMR852027 LVZ852027:LWN852027 MFV852027:MGJ852027 MPR852027:MQF852027 MZN852027:NAB852027 NJJ852027:NJX852027 NTF852027:NTT852027 ODB852027:ODP852027 OMX852027:ONL852027 OWT852027:OXH852027 PGP852027:PHD852027 PQL852027:PQZ852027 QAH852027:QAV852027 QKD852027:QKR852027 QTZ852027:QUN852027 RDV852027:REJ852027 RNR852027:ROF852027 RXN852027:RYB852027 SHJ852027:SHX852027 SRF852027:SRT852027 TBB852027:TBP852027 TKX852027:TLL852027 TUT852027:TVH852027 UEP852027:UFD852027 UOL852027:UOZ852027 UYH852027:UYV852027 VID852027:VIR852027 VRZ852027:VSN852027 WBV852027:WCJ852027 WLR852027:WMF852027 WVN852027:WWB852027 F917563:T917563 JB917563:JP917563 SX917563:TL917563 ACT917563:ADH917563 AMP917563:AND917563 AWL917563:AWZ917563 BGH917563:BGV917563 BQD917563:BQR917563 BZZ917563:CAN917563 CJV917563:CKJ917563 CTR917563:CUF917563 DDN917563:DEB917563 DNJ917563:DNX917563 DXF917563:DXT917563 EHB917563:EHP917563 EQX917563:ERL917563 FAT917563:FBH917563 FKP917563:FLD917563 FUL917563:FUZ917563 GEH917563:GEV917563 GOD917563:GOR917563 GXZ917563:GYN917563 HHV917563:HIJ917563 HRR917563:HSF917563 IBN917563:ICB917563 ILJ917563:ILX917563 IVF917563:IVT917563 JFB917563:JFP917563 JOX917563:JPL917563 JYT917563:JZH917563 KIP917563:KJD917563 KSL917563:KSZ917563 LCH917563:LCV917563 LMD917563:LMR917563 LVZ917563:LWN917563 MFV917563:MGJ917563 MPR917563:MQF917563 MZN917563:NAB917563 NJJ917563:NJX917563 NTF917563:NTT917563 ODB917563:ODP917563 OMX917563:ONL917563 OWT917563:OXH917563 PGP917563:PHD917563 PQL917563:PQZ917563 QAH917563:QAV917563 QKD917563:QKR917563 QTZ917563:QUN917563 RDV917563:REJ917563 RNR917563:ROF917563 RXN917563:RYB917563 SHJ917563:SHX917563 SRF917563:SRT917563 TBB917563:TBP917563 TKX917563:TLL917563 TUT917563:TVH917563 UEP917563:UFD917563 UOL917563:UOZ917563 UYH917563:UYV917563 VID917563:VIR917563 VRZ917563:VSN917563 WBV917563:WCJ917563 WLR917563:WMF917563 WVN917563:WWB917563 F983099:T983099 JB983099:JP983099 SX983099:TL983099 ACT983099:ADH983099 AMP983099:AND983099 AWL983099:AWZ983099 BGH983099:BGV983099 BQD983099:BQR983099 BZZ983099:CAN983099 CJV983099:CKJ983099 CTR983099:CUF983099 DDN983099:DEB983099 DNJ983099:DNX983099 DXF983099:DXT983099 EHB983099:EHP983099 EQX983099:ERL983099 FAT983099:FBH983099 FKP983099:FLD983099 FUL983099:FUZ983099 GEH983099:GEV983099 GOD983099:GOR983099 GXZ983099:GYN983099 HHV983099:HIJ983099 HRR983099:HSF983099 IBN983099:ICB983099 ILJ983099:ILX983099 IVF983099:IVT983099 JFB983099:JFP983099 JOX983099:JPL983099 JYT983099:JZH983099 KIP983099:KJD983099 KSL983099:KSZ983099 LCH983099:LCV983099 LMD983099:LMR983099 LVZ983099:LWN983099 MFV983099:MGJ983099 MPR983099:MQF983099 MZN983099:NAB983099 NJJ983099:NJX983099 NTF983099:NTT983099 ODB983099:ODP983099 OMX983099:ONL983099 OWT983099:OXH983099 PGP983099:PHD983099 PQL983099:PQZ983099 QAH983099:QAV983099 QKD983099:QKR983099 QTZ983099:QUN983099 RDV983099:REJ983099 RNR983099:ROF983099 RXN983099:RYB983099 SHJ983099:SHX983099 SRF983099:SRT983099 TBB983099:TBP983099 TKX983099:TLL983099 TUT983099:TVH983099 UEP983099:UFD983099 UOL983099:UOZ983099 UYH983099:UYV983099 VID983099:VIR983099 VRZ983099:VSN983099 WBV983099:WCJ983099 WLR983099:WMF983099 F59:T59" xr:uid="{00000000-0002-0000-0100-000000000000}">
      <formula1>"N,A,B, "</formula1>
    </dataValidation>
    <dataValidation type="list" allowBlank="1" showInputMessage="1" showErrorMessage="1" sqref="WVN983100:WWB983100 JB60:JP60 SX60:TL60 ACT60:ADH60 AMP60:AND60 AWL60:AWZ60 BGH60:BGV60 BQD60:BQR60 BZZ60:CAN60 CJV60:CKJ60 CTR60:CUF60 DDN60:DEB60 DNJ60:DNX60 DXF60:DXT60 EHB60:EHP60 EQX60:ERL60 FAT60:FBH60 FKP60:FLD60 FUL60:FUZ60 GEH60:GEV60 GOD60:GOR60 GXZ60:GYN60 HHV60:HIJ60 HRR60:HSF60 IBN60:ICB60 ILJ60:ILX60 IVF60:IVT60 JFB60:JFP60 JOX60:JPL60 JYT60:JZH60 KIP60:KJD60 KSL60:KSZ60 LCH60:LCV60 LMD60:LMR60 LVZ60:LWN60 MFV60:MGJ60 MPR60:MQF60 MZN60:NAB60 NJJ60:NJX60 NTF60:NTT60 ODB60:ODP60 OMX60:ONL60 OWT60:OXH60 PGP60:PHD60 PQL60:PQZ60 QAH60:QAV60 QKD60:QKR60 QTZ60:QUN60 RDV60:REJ60 RNR60:ROF60 RXN60:RYB60 SHJ60:SHX60 SRF60:SRT60 TBB60:TBP60 TKX60:TLL60 TUT60:TVH60 UEP60:UFD60 UOL60:UOZ60 UYH60:UYV60 VID60:VIR60 VRZ60:VSN60 WBV60:WCJ60 WLR60:WMF60 WVN60:WWB60 F65596:T65596 JB65596:JP65596 SX65596:TL65596 ACT65596:ADH65596 AMP65596:AND65596 AWL65596:AWZ65596 BGH65596:BGV65596 BQD65596:BQR65596 BZZ65596:CAN65596 CJV65596:CKJ65596 CTR65596:CUF65596 DDN65596:DEB65596 DNJ65596:DNX65596 DXF65596:DXT65596 EHB65596:EHP65596 EQX65596:ERL65596 FAT65596:FBH65596 FKP65596:FLD65596 FUL65596:FUZ65596 GEH65596:GEV65596 GOD65596:GOR65596 GXZ65596:GYN65596 HHV65596:HIJ65596 HRR65596:HSF65596 IBN65596:ICB65596 ILJ65596:ILX65596 IVF65596:IVT65596 JFB65596:JFP65596 JOX65596:JPL65596 JYT65596:JZH65596 KIP65596:KJD65596 KSL65596:KSZ65596 LCH65596:LCV65596 LMD65596:LMR65596 LVZ65596:LWN65596 MFV65596:MGJ65596 MPR65596:MQF65596 MZN65596:NAB65596 NJJ65596:NJX65596 NTF65596:NTT65596 ODB65596:ODP65596 OMX65596:ONL65596 OWT65596:OXH65596 PGP65596:PHD65596 PQL65596:PQZ65596 QAH65596:QAV65596 QKD65596:QKR65596 QTZ65596:QUN65596 RDV65596:REJ65596 RNR65596:ROF65596 RXN65596:RYB65596 SHJ65596:SHX65596 SRF65596:SRT65596 TBB65596:TBP65596 TKX65596:TLL65596 TUT65596:TVH65596 UEP65596:UFD65596 UOL65596:UOZ65596 UYH65596:UYV65596 VID65596:VIR65596 VRZ65596:VSN65596 WBV65596:WCJ65596 WLR65596:WMF65596 WVN65596:WWB65596 F131132:T131132 JB131132:JP131132 SX131132:TL131132 ACT131132:ADH131132 AMP131132:AND131132 AWL131132:AWZ131132 BGH131132:BGV131132 BQD131132:BQR131132 BZZ131132:CAN131132 CJV131132:CKJ131132 CTR131132:CUF131132 DDN131132:DEB131132 DNJ131132:DNX131132 DXF131132:DXT131132 EHB131132:EHP131132 EQX131132:ERL131132 FAT131132:FBH131132 FKP131132:FLD131132 FUL131132:FUZ131132 GEH131132:GEV131132 GOD131132:GOR131132 GXZ131132:GYN131132 HHV131132:HIJ131132 HRR131132:HSF131132 IBN131132:ICB131132 ILJ131132:ILX131132 IVF131132:IVT131132 JFB131132:JFP131132 JOX131132:JPL131132 JYT131132:JZH131132 KIP131132:KJD131132 KSL131132:KSZ131132 LCH131132:LCV131132 LMD131132:LMR131132 LVZ131132:LWN131132 MFV131132:MGJ131132 MPR131132:MQF131132 MZN131132:NAB131132 NJJ131132:NJX131132 NTF131132:NTT131132 ODB131132:ODP131132 OMX131132:ONL131132 OWT131132:OXH131132 PGP131132:PHD131132 PQL131132:PQZ131132 QAH131132:QAV131132 QKD131132:QKR131132 QTZ131132:QUN131132 RDV131132:REJ131132 RNR131132:ROF131132 RXN131132:RYB131132 SHJ131132:SHX131132 SRF131132:SRT131132 TBB131132:TBP131132 TKX131132:TLL131132 TUT131132:TVH131132 UEP131132:UFD131132 UOL131132:UOZ131132 UYH131132:UYV131132 VID131132:VIR131132 VRZ131132:VSN131132 WBV131132:WCJ131132 WLR131132:WMF131132 WVN131132:WWB131132 F196668:T196668 JB196668:JP196668 SX196668:TL196668 ACT196668:ADH196668 AMP196668:AND196668 AWL196668:AWZ196668 BGH196668:BGV196668 BQD196668:BQR196668 BZZ196668:CAN196668 CJV196668:CKJ196668 CTR196668:CUF196668 DDN196668:DEB196668 DNJ196668:DNX196668 DXF196668:DXT196668 EHB196668:EHP196668 EQX196668:ERL196668 FAT196668:FBH196668 FKP196668:FLD196668 FUL196668:FUZ196668 GEH196668:GEV196668 GOD196668:GOR196668 GXZ196668:GYN196668 HHV196668:HIJ196668 HRR196668:HSF196668 IBN196668:ICB196668 ILJ196668:ILX196668 IVF196668:IVT196668 JFB196668:JFP196668 JOX196668:JPL196668 JYT196668:JZH196668 KIP196668:KJD196668 KSL196668:KSZ196668 LCH196668:LCV196668 LMD196668:LMR196668 LVZ196668:LWN196668 MFV196668:MGJ196668 MPR196668:MQF196668 MZN196668:NAB196668 NJJ196668:NJX196668 NTF196668:NTT196668 ODB196668:ODP196668 OMX196668:ONL196668 OWT196668:OXH196668 PGP196668:PHD196668 PQL196668:PQZ196668 QAH196668:QAV196668 QKD196668:QKR196668 QTZ196668:QUN196668 RDV196668:REJ196668 RNR196668:ROF196668 RXN196668:RYB196668 SHJ196668:SHX196668 SRF196668:SRT196668 TBB196668:TBP196668 TKX196668:TLL196668 TUT196668:TVH196668 UEP196668:UFD196668 UOL196668:UOZ196668 UYH196668:UYV196668 VID196668:VIR196668 VRZ196668:VSN196668 WBV196668:WCJ196668 WLR196668:WMF196668 WVN196668:WWB196668 F262204:T262204 JB262204:JP262204 SX262204:TL262204 ACT262204:ADH262204 AMP262204:AND262204 AWL262204:AWZ262204 BGH262204:BGV262204 BQD262204:BQR262204 BZZ262204:CAN262204 CJV262204:CKJ262204 CTR262204:CUF262204 DDN262204:DEB262204 DNJ262204:DNX262204 DXF262204:DXT262204 EHB262204:EHP262204 EQX262204:ERL262204 FAT262204:FBH262204 FKP262204:FLD262204 FUL262204:FUZ262204 GEH262204:GEV262204 GOD262204:GOR262204 GXZ262204:GYN262204 HHV262204:HIJ262204 HRR262204:HSF262204 IBN262204:ICB262204 ILJ262204:ILX262204 IVF262204:IVT262204 JFB262204:JFP262204 JOX262204:JPL262204 JYT262204:JZH262204 KIP262204:KJD262204 KSL262204:KSZ262204 LCH262204:LCV262204 LMD262204:LMR262204 LVZ262204:LWN262204 MFV262204:MGJ262204 MPR262204:MQF262204 MZN262204:NAB262204 NJJ262204:NJX262204 NTF262204:NTT262204 ODB262204:ODP262204 OMX262204:ONL262204 OWT262204:OXH262204 PGP262204:PHD262204 PQL262204:PQZ262204 QAH262204:QAV262204 QKD262204:QKR262204 QTZ262204:QUN262204 RDV262204:REJ262204 RNR262204:ROF262204 RXN262204:RYB262204 SHJ262204:SHX262204 SRF262204:SRT262204 TBB262204:TBP262204 TKX262204:TLL262204 TUT262204:TVH262204 UEP262204:UFD262204 UOL262204:UOZ262204 UYH262204:UYV262204 VID262204:VIR262204 VRZ262204:VSN262204 WBV262204:WCJ262204 WLR262204:WMF262204 WVN262204:WWB262204 F327740:T327740 JB327740:JP327740 SX327740:TL327740 ACT327740:ADH327740 AMP327740:AND327740 AWL327740:AWZ327740 BGH327740:BGV327740 BQD327740:BQR327740 BZZ327740:CAN327740 CJV327740:CKJ327740 CTR327740:CUF327740 DDN327740:DEB327740 DNJ327740:DNX327740 DXF327740:DXT327740 EHB327740:EHP327740 EQX327740:ERL327740 FAT327740:FBH327740 FKP327740:FLD327740 FUL327740:FUZ327740 GEH327740:GEV327740 GOD327740:GOR327740 GXZ327740:GYN327740 HHV327740:HIJ327740 HRR327740:HSF327740 IBN327740:ICB327740 ILJ327740:ILX327740 IVF327740:IVT327740 JFB327740:JFP327740 JOX327740:JPL327740 JYT327740:JZH327740 KIP327740:KJD327740 KSL327740:KSZ327740 LCH327740:LCV327740 LMD327740:LMR327740 LVZ327740:LWN327740 MFV327740:MGJ327740 MPR327740:MQF327740 MZN327740:NAB327740 NJJ327740:NJX327740 NTF327740:NTT327740 ODB327740:ODP327740 OMX327740:ONL327740 OWT327740:OXH327740 PGP327740:PHD327740 PQL327740:PQZ327740 QAH327740:QAV327740 QKD327740:QKR327740 QTZ327740:QUN327740 RDV327740:REJ327740 RNR327740:ROF327740 RXN327740:RYB327740 SHJ327740:SHX327740 SRF327740:SRT327740 TBB327740:TBP327740 TKX327740:TLL327740 TUT327740:TVH327740 UEP327740:UFD327740 UOL327740:UOZ327740 UYH327740:UYV327740 VID327740:VIR327740 VRZ327740:VSN327740 WBV327740:WCJ327740 WLR327740:WMF327740 WVN327740:WWB327740 F393276:T393276 JB393276:JP393276 SX393276:TL393276 ACT393276:ADH393276 AMP393276:AND393276 AWL393276:AWZ393276 BGH393276:BGV393276 BQD393276:BQR393276 BZZ393276:CAN393276 CJV393276:CKJ393276 CTR393276:CUF393276 DDN393276:DEB393276 DNJ393276:DNX393276 DXF393276:DXT393276 EHB393276:EHP393276 EQX393276:ERL393276 FAT393276:FBH393276 FKP393276:FLD393276 FUL393276:FUZ393276 GEH393276:GEV393276 GOD393276:GOR393276 GXZ393276:GYN393276 HHV393276:HIJ393276 HRR393276:HSF393276 IBN393276:ICB393276 ILJ393276:ILX393276 IVF393276:IVT393276 JFB393276:JFP393276 JOX393276:JPL393276 JYT393276:JZH393276 KIP393276:KJD393276 KSL393276:KSZ393276 LCH393276:LCV393276 LMD393276:LMR393276 LVZ393276:LWN393276 MFV393276:MGJ393276 MPR393276:MQF393276 MZN393276:NAB393276 NJJ393276:NJX393276 NTF393276:NTT393276 ODB393276:ODP393276 OMX393276:ONL393276 OWT393276:OXH393276 PGP393276:PHD393276 PQL393276:PQZ393276 QAH393276:QAV393276 QKD393276:QKR393276 QTZ393276:QUN393276 RDV393276:REJ393276 RNR393276:ROF393276 RXN393276:RYB393276 SHJ393276:SHX393276 SRF393276:SRT393276 TBB393276:TBP393276 TKX393276:TLL393276 TUT393276:TVH393276 UEP393276:UFD393276 UOL393276:UOZ393276 UYH393276:UYV393276 VID393276:VIR393276 VRZ393276:VSN393276 WBV393276:WCJ393276 WLR393276:WMF393276 WVN393276:WWB393276 F458812:T458812 JB458812:JP458812 SX458812:TL458812 ACT458812:ADH458812 AMP458812:AND458812 AWL458812:AWZ458812 BGH458812:BGV458812 BQD458812:BQR458812 BZZ458812:CAN458812 CJV458812:CKJ458812 CTR458812:CUF458812 DDN458812:DEB458812 DNJ458812:DNX458812 DXF458812:DXT458812 EHB458812:EHP458812 EQX458812:ERL458812 FAT458812:FBH458812 FKP458812:FLD458812 FUL458812:FUZ458812 GEH458812:GEV458812 GOD458812:GOR458812 GXZ458812:GYN458812 HHV458812:HIJ458812 HRR458812:HSF458812 IBN458812:ICB458812 ILJ458812:ILX458812 IVF458812:IVT458812 JFB458812:JFP458812 JOX458812:JPL458812 JYT458812:JZH458812 KIP458812:KJD458812 KSL458812:KSZ458812 LCH458812:LCV458812 LMD458812:LMR458812 LVZ458812:LWN458812 MFV458812:MGJ458812 MPR458812:MQF458812 MZN458812:NAB458812 NJJ458812:NJX458812 NTF458812:NTT458812 ODB458812:ODP458812 OMX458812:ONL458812 OWT458812:OXH458812 PGP458812:PHD458812 PQL458812:PQZ458812 QAH458812:QAV458812 QKD458812:QKR458812 QTZ458812:QUN458812 RDV458812:REJ458812 RNR458812:ROF458812 RXN458812:RYB458812 SHJ458812:SHX458812 SRF458812:SRT458812 TBB458812:TBP458812 TKX458812:TLL458812 TUT458812:TVH458812 UEP458812:UFD458812 UOL458812:UOZ458812 UYH458812:UYV458812 VID458812:VIR458812 VRZ458812:VSN458812 WBV458812:WCJ458812 WLR458812:WMF458812 WVN458812:WWB458812 F524348:T524348 JB524348:JP524348 SX524348:TL524348 ACT524348:ADH524348 AMP524348:AND524348 AWL524348:AWZ524348 BGH524348:BGV524348 BQD524348:BQR524348 BZZ524348:CAN524348 CJV524348:CKJ524348 CTR524348:CUF524348 DDN524348:DEB524348 DNJ524348:DNX524348 DXF524348:DXT524348 EHB524348:EHP524348 EQX524348:ERL524348 FAT524348:FBH524348 FKP524348:FLD524348 FUL524348:FUZ524348 GEH524348:GEV524348 GOD524348:GOR524348 GXZ524348:GYN524348 HHV524348:HIJ524348 HRR524348:HSF524348 IBN524348:ICB524348 ILJ524348:ILX524348 IVF524348:IVT524348 JFB524348:JFP524348 JOX524348:JPL524348 JYT524348:JZH524348 KIP524348:KJD524348 KSL524348:KSZ524348 LCH524348:LCV524348 LMD524348:LMR524348 LVZ524348:LWN524348 MFV524348:MGJ524348 MPR524348:MQF524348 MZN524348:NAB524348 NJJ524348:NJX524348 NTF524348:NTT524348 ODB524348:ODP524348 OMX524348:ONL524348 OWT524348:OXH524348 PGP524348:PHD524348 PQL524348:PQZ524348 QAH524348:QAV524348 QKD524348:QKR524348 QTZ524348:QUN524348 RDV524348:REJ524348 RNR524348:ROF524348 RXN524348:RYB524348 SHJ524348:SHX524348 SRF524348:SRT524348 TBB524348:TBP524348 TKX524348:TLL524348 TUT524348:TVH524348 UEP524348:UFD524348 UOL524348:UOZ524348 UYH524348:UYV524348 VID524348:VIR524348 VRZ524348:VSN524348 WBV524348:WCJ524348 WLR524348:WMF524348 WVN524348:WWB524348 F589884:T589884 JB589884:JP589884 SX589884:TL589884 ACT589884:ADH589884 AMP589884:AND589884 AWL589884:AWZ589884 BGH589884:BGV589884 BQD589884:BQR589884 BZZ589884:CAN589884 CJV589884:CKJ589884 CTR589884:CUF589884 DDN589884:DEB589884 DNJ589884:DNX589884 DXF589884:DXT589884 EHB589884:EHP589884 EQX589884:ERL589884 FAT589884:FBH589884 FKP589884:FLD589884 FUL589884:FUZ589884 GEH589884:GEV589884 GOD589884:GOR589884 GXZ589884:GYN589884 HHV589884:HIJ589884 HRR589884:HSF589884 IBN589884:ICB589884 ILJ589884:ILX589884 IVF589884:IVT589884 JFB589884:JFP589884 JOX589884:JPL589884 JYT589884:JZH589884 KIP589884:KJD589884 KSL589884:KSZ589884 LCH589884:LCV589884 LMD589884:LMR589884 LVZ589884:LWN589884 MFV589884:MGJ589884 MPR589884:MQF589884 MZN589884:NAB589884 NJJ589884:NJX589884 NTF589884:NTT589884 ODB589884:ODP589884 OMX589884:ONL589884 OWT589884:OXH589884 PGP589884:PHD589884 PQL589884:PQZ589884 QAH589884:QAV589884 QKD589884:QKR589884 QTZ589884:QUN589884 RDV589884:REJ589884 RNR589884:ROF589884 RXN589884:RYB589884 SHJ589884:SHX589884 SRF589884:SRT589884 TBB589884:TBP589884 TKX589884:TLL589884 TUT589884:TVH589884 UEP589884:UFD589884 UOL589884:UOZ589884 UYH589884:UYV589884 VID589884:VIR589884 VRZ589884:VSN589884 WBV589884:WCJ589884 WLR589884:WMF589884 WVN589884:WWB589884 F655420:T655420 JB655420:JP655420 SX655420:TL655420 ACT655420:ADH655420 AMP655420:AND655420 AWL655420:AWZ655420 BGH655420:BGV655420 BQD655420:BQR655420 BZZ655420:CAN655420 CJV655420:CKJ655420 CTR655420:CUF655420 DDN655420:DEB655420 DNJ655420:DNX655420 DXF655420:DXT655420 EHB655420:EHP655420 EQX655420:ERL655420 FAT655420:FBH655420 FKP655420:FLD655420 FUL655420:FUZ655420 GEH655420:GEV655420 GOD655420:GOR655420 GXZ655420:GYN655420 HHV655420:HIJ655420 HRR655420:HSF655420 IBN655420:ICB655420 ILJ655420:ILX655420 IVF655420:IVT655420 JFB655420:JFP655420 JOX655420:JPL655420 JYT655420:JZH655420 KIP655420:KJD655420 KSL655420:KSZ655420 LCH655420:LCV655420 LMD655420:LMR655420 LVZ655420:LWN655420 MFV655420:MGJ655420 MPR655420:MQF655420 MZN655420:NAB655420 NJJ655420:NJX655420 NTF655420:NTT655420 ODB655420:ODP655420 OMX655420:ONL655420 OWT655420:OXH655420 PGP655420:PHD655420 PQL655420:PQZ655420 QAH655420:QAV655420 QKD655420:QKR655420 QTZ655420:QUN655420 RDV655420:REJ655420 RNR655420:ROF655420 RXN655420:RYB655420 SHJ655420:SHX655420 SRF655420:SRT655420 TBB655420:TBP655420 TKX655420:TLL655420 TUT655420:TVH655420 UEP655420:UFD655420 UOL655420:UOZ655420 UYH655420:UYV655420 VID655420:VIR655420 VRZ655420:VSN655420 WBV655420:WCJ655420 WLR655420:WMF655420 WVN655420:WWB655420 F720956:T720956 JB720956:JP720956 SX720956:TL720956 ACT720956:ADH720956 AMP720956:AND720956 AWL720956:AWZ720956 BGH720956:BGV720956 BQD720956:BQR720956 BZZ720956:CAN720956 CJV720956:CKJ720956 CTR720956:CUF720956 DDN720956:DEB720956 DNJ720956:DNX720956 DXF720956:DXT720956 EHB720956:EHP720956 EQX720956:ERL720956 FAT720956:FBH720956 FKP720956:FLD720956 FUL720956:FUZ720956 GEH720956:GEV720956 GOD720956:GOR720956 GXZ720956:GYN720956 HHV720956:HIJ720956 HRR720956:HSF720956 IBN720956:ICB720956 ILJ720956:ILX720956 IVF720956:IVT720956 JFB720956:JFP720956 JOX720956:JPL720956 JYT720956:JZH720956 KIP720956:KJD720956 KSL720956:KSZ720956 LCH720956:LCV720956 LMD720956:LMR720956 LVZ720956:LWN720956 MFV720956:MGJ720956 MPR720956:MQF720956 MZN720956:NAB720956 NJJ720956:NJX720956 NTF720956:NTT720956 ODB720956:ODP720956 OMX720956:ONL720956 OWT720956:OXH720956 PGP720956:PHD720956 PQL720956:PQZ720956 QAH720956:QAV720956 QKD720956:QKR720956 QTZ720956:QUN720956 RDV720956:REJ720956 RNR720956:ROF720956 RXN720956:RYB720956 SHJ720956:SHX720956 SRF720956:SRT720956 TBB720956:TBP720956 TKX720956:TLL720956 TUT720956:TVH720956 UEP720956:UFD720956 UOL720956:UOZ720956 UYH720956:UYV720956 VID720956:VIR720956 VRZ720956:VSN720956 WBV720956:WCJ720956 WLR720956:WMF720956 WVN720956:WWB720956 F786492:T786492 JB786492:JP786492 SX786492:TL786492 ACT786492:ADH786492 AMP786492:AND786492 AWL786492:AWZ786492 BGH786492:BGV786492 BQD786492:BQR786492 BZZ786492:CAN786492 CJV786492:CKJ786492 CTR786492:CUF786492 DDN786492:DEB786492 DNJ786492:DNX786492 DXF786492:DXT786492 EHB786492:EHP786492 EQX786492:ERL786492 FAT786492:FBH786492 FKP786492:FLD786492 FUL786492:FUZ786492 GEH786492:GEV786492 GOD786492:GOR786492 GXZ786492:GYN786492 HHV786492:HIJ786492 HRR786492:HSF786492 IBN786492:ICB786492 ILJ786492:ILX786492 IVF786492:IVT786492 JFB786492:JFP786492 JOX786492:JPL786492 JYT786492:JZH786492 KIP786492:KJD786492 KSL786492:KSZ786492 LCH786492:LCV786492 LMD786492:LMR786492 LVZ786492:LWN786492 MFV786492:MGJ786492 MPR786492:MQF786492 MZN786492:NAB786492 NJJ786492:NJX786492 NTF786492:NTT786492 ODB786492:ODP786492 OMX786492:ONL786492 OWT786492:OXH786492 PGP786492:PHD786492 PQL786492:PQZ786492 QAH786492:QAV786492 QKD786492:QKR786492 QTZ786492:QUN786492 RDV786492:REJ786492 RNR786492:ROF786492 RXN786492:RYB786492 SHJ786492:SHX786492 SRF786492:SRT786492 TBB786492:TBP786492 TKX786492:TLL786492 TUT786492:TVH786492 UEP786492:UFD786492 UOL786492:UOZ786492 UYH786492:UYV786492 VID786492:VIR786492 VRZ786492:VSN786492 WBV786492:WCJ786492 WLR786492:WMF786492 WVN786492:WWB786492 F852028:T852028 JB852028:JP852028 SX852028:TL852028 ACT852028:ADH852028 AMP852028:AND852028 AWL852028:AWZ852028 BGH852028:BGV852028 BQD852028:BQR852028 BZZ852028:CAN852028 CJV852028:CKJ852028 CTR852028:CUF852028 DDN852028:DEB852028 DNJ852028:DNX852028 DXF852028:DXT852028 EHB852028:EHP852028 EQX852028:ERL852028 FAT852028:FBH852028 FKP852028:FLD852028 FUL852028:FUZ852028 GEH852028:GEV852028 GOD852028:GOR852028 GXZ852028:GYN852028 HHV852028:HIJ852028 HRR852028:HSF852028 IBN852028:ICB852028 ILJ852028:ILX852028 IVF852028:IVT852028 JFB852028:JFP852028 JOX852028:JPL852028 JYT852028:JZH852028 KIP852028:KJD852028 KSL852028:KSZ852028 LCH852028:LCV852028 LMD852028:LMR852028 LVZ852028:LWN852028 MFV852028:MGJ852028 MPR852028:MQF852028 MZN852028:NAB852028 NJJ852028:NJX852028 NTF852028:NTT852028 ODB852028:ODP852028 OMX852028:ONL852028 OWT852028:OXH852028 PGP852028:PHD852028 PQL852028:PQZ852028 QAH852028:QAV852028 QKD852028:QKR852028 QTZ852028:QUN852028 RDV852028:REJ852028 RNR852028:ROF852028 RXN852028:RYB852028 SHJ852028:SHX852028 SRF852028:SRT852028 TBB852028:TBP852028 TKX852028:TLL852028 TUT852028:TVH852028 UEP852028:UFD852028 UOL852028:UOZ852028 UYH852028:UYV852028 VID852028:VIR852028 VRZ852028:VSN852028 WBV852028:WCJ852028 WLR852028:WMF852028 WVN852028:WWB852028 F917564:T917564 JB917564:JP917564 SX917564:TL917564 ACT917564:ADH917564 AMP917564:AND917564 AWL917564:AWZ917564 BGH917564:BGV917564 BQD917564:BQR917564 BZZ917564:CAN917564 CJV917564:CKJ917564 CTR917564:CUF917564 DDN917564:DEB917564 DNJ917564:DNX917564 DXF917564:DXT917564 EHB917564:EHP917564 EQX917564:ERL917564 FAT917564:FBH917564 FKP917564:FLD917564 FUL917564:FUZ917564 GEH917564:GEV917564 GOD917564:GOR917564 GXZ917564:GYN917564 HHV917564:HIJ917564 HRR917564:HSF917564 IBN917564:ICB917564 ILJ917564:ILX917564 IVF917564:IVT917564 JFB917564:JFP917564 JOX917564:JPL917564 JYT917564:JZH917564 KIP917564:KJD917564 KSL917564:KSZ917564 LCH917564:LCV917564 LMD917564:LMR917564 LVZ917564:LWN917564 MFV917564:MGJ917564 MPR917564:MQF917564 MZN917564:NAB917564 NJJ917564:NJX917564 NTF917564:NTT917564 ODB917564:ODP917564 OMX917564:ONL917564 OWT917564:OXH917564 PGP917564:PHD917564 PQL917564:PQZ917564 QAH917564:QAV917564 QKD917564:QKR917564 QTZ917564:QUN917564 RDV917564:REJ917564 RNR917564:ROF917564 RXN917564:RYB917564 SHJ917564:SHX917564 SRF917564:SRT917564 TBB917564:TBP917564 TKX917564:TLL917564 TUT917564:TVH917564 UEP917564:UFD917564 UOL917564:UOZ917564 UYH917564:UYV917564 VID917564:VIR917564 VRZ917564:VSN917564 WBV917564:WCJ917564 WLR917564:WMF917564 WVN917564:WWB917564 F983100:T983100 JB983100:JP983100 SX983100:TL983100 ACT983100:ADH983100 AMP983100:AND983100 AWL983100:AWZ983100 BGH983100:BGV983100 BQD983100:BQR983100 BZZ983100:CAN983100 CJV983100:CKJ983100 CTR983100:CUF983100 DDN983100:DEB983100 DNJ983100:DNX983100 DXF983100:DXT983100 EHB983100:EHP983100 EQX983100:ERL983100 FAT983100:FBH983100 FKP983100:FLD983100 FUL983100:FUZ983100 GEH983100:GEV983100 GOD983100:GOR983100 GXZ983100:GYN983100 HHV983100:HIJ983100 HRR983100:HSF983100 IBN983100:ICB983100 ILJ983100:ILX983100 IVF983100:IVT983100 JFB983100:JFP983100 JOX983100:JPL983100 JYT983100:JZH983100 KIP983100:KJD983100 KSL983100:KSZ983100 LCH983100:LCV983100 LMD983100:LMR983100 LVZ983100:LWN983100 MFV983100:MGJ983100 MPR983100:MQF983100 MZN983100:NAB983100 NJJ983100:NJX983100 NTF983100:NTT983100 ODB983100:ODP983100 OMX983100:ONL983100 OWT983100:OXH983100 PGP983100:PHD983100 PQL983100:PQZ983100 QAH983100:QAV983100 QKD983100:QKR983100 QTZ983100:QUN983100 RDV983100:REJ983100 RNR983100:ROF983100 RXN983100:RYB983100 SHJ983100:SHX983100 SRF983100:SRT983100 TBB983100:TBP983100 TKX983100:TLL983100 TUT983100:TVH983100 UEP983100:UFD983100 UOL983100:UOZ983100 UYH983100:UYV983100 VID983100:VIR983100 VRZ983100:VSN983100 WBV983100:WCJ983100 WLR983100:WMF983100 F60:T60" xr:uid="{00000000-0002-0000-0100-000001000000}">
      <formula1>"P,F, "</formula1>
    </dataValidation>
    <dataValidation type="list" allowBlank="1" showInputMessage="1" showErrorMessage="1" sqref="WVN983070:WWB983098 F65566:T65594 JB65566:JP65594 SX65566:TL65594 ACT65566:ADH65594 AMP65566:AND65594 AWL65566:AWZ65594 BGH65566:BGV65594 BQD65566:BQR65594 BZZ65566:CAN65594 CJV65566:CKJ65594 CTR65566:CUF65594 DDN65566:DEB65594 DNJ65566:DNX65594 DXF65566:DXT65594 EHB65566:EHP65594 EQX65566:ERL65594 FAT65566:FBH65594 FKP65566:FLD65594 FUL65566:FUZ65594 GEH65566:GEV65594 GOD65566:GOR65594 GXZ65566:GYN65594 HHV65566:HIJ65594 HRR65566:HSF65594 IBN65566:ICB65594 ILJ65566:ILX65594 IVF65566:IVT65594 JFB65566:JFP65594 JOX65566:JPL65594 JYT65566:JZH65594 KIP65566:KJD65594 KSL65566:KSZ65594 LCH65566:LCV65594 LMD65566:LMR65594 LVZ65566:LWN65594 MFV65566:MGJ65594 MPR65566:MQF65594 MZN65566:NAB65594 NJJ65566:NJX65594 NTF65566:NTT65594 ODB65566:ODP65594 OMX65566:ONL65594 OWT65566:OXH65594 PGP65566:PHD65594 PQL65566:PQZ65594 QAH65566:QAV65594 QKD65566:QKR65594 QTZ65566:QUN65594 RDV65566:REJ65594 RNR65566:ROF65594 RXN65566:RYB65594 SHJ65566:SHX65594 SRF65566:SRT65594 TBB65566:TBP65594 TKX65566:TLL65594 TUT65566:TVH65594 UEP65566:UFD65594 UOL65566:UOZ65594 UYH65566:UYV65594 VID65566:VIR65594 VRZ65566:VSN65594 WBV65566:WCJ65594 WLR65566:WMF65594 WVN65566:WWB65594 F131102:T131130 JB131102:JP131130 SX131102:TL131130 ACT131102:ADH131130 AMP131102:AND131130 AWL131102:AWZ131130 BGH131102:BGV131130 BQD131102:BQR131130 BZZ131102:CAN131130 CJV131102:CKJ131130 CTR131102:CUF131130 DDN131102:DEB131130 DNJ131102:DNX131130 DXF131102:DXT131130 EHB131102:EHP131130 EQX131102:ERL131130 FAT131102:FBH131130 FKP131102:FLD131130 FUL131102:FUZ131130 GEH131102:GEV131130 GOD131102:GOR131130 GXZ131102:GYN131130 HHV131102:HIJ131130 HRR131102:HSF131130 IBN131102:ICB131130 ILJ131102:ILX131130 IVF131102:IVT131130 JFB131102:JFP131130 JOX131102:JPL131130 JYT131102:JZH131130 KIP131102:KJD131130 KSL131102:KSZ131130 LCH131102:LCV131130 LMD131102:LMR131130 LVZ131102:LWN131130 MFV131102:MGJ131130 MPR131102:MQF131130 MZN131102:NAB131130 NJJ131102:NJX131130 NTF131102:NTT131130 ODB131102:ODP131130 OMX131102:ONL131130 OWT131102:OXH131130 PGP131102:PHD131130 PQL131102:PQZ131130 QAH131102:QAV131130 QKD131102:QKR131130 QTZ131102:QUN131130 RDV131102:REJ131130 RNR131102:ROF131130 RXN131102:RYB131130 SHJ131102:SHX131130 SRF131102:SRT131130 TBB131102:TBP131130 TKX131102:TLL131130 TUT131102:TVH131130 UEP131102:UFD131130 UOL131102:UOZ131130 UYH131102:UYV131130 VID131102:VIR131130 VRZ131102:VSN131130 WBV131102:WCJ131130 WLR131102:WMF131130 WVN131102:WWB131130 F196638:T196666 JB196638:JP196666 SX196638:TL196666 ACT196638:ADH196666 AMP196638:AND196666 AWL196638:AWZ196666 BGH196638:BGV196666 BQD196638:BQR196666 BZZ196638:CAN196666 CJV196638:CKJ196666 CTR196638:CUF196666 DDN196638:DEB196666 DNJ196638:DNX196666 DXF196638:DXT196666 EHB196638:EHP196666 EQX196638:ERL196666 FAT196638:FBH196666 FKP196638:FLD196666 FUL196638:FUZ196666 GEH196638:GEV196666 GOD196638:GOR196666 GXZ196638:GYN196666 HHV196638:HIJ196666 HRR196638:HSF196666 IBN196638:ICB196666 ILJ196638:ILX196666 IVF196638:IVT196666 JFB196638:JFP196666 JOX196638:JPL196666 JYT196638:JZH196666 KIP196638:KJD196666 KSL196638:KSZ196666 LCH196638:LCV196666 LMD196638:LMR196666 LVZ196638:LWN196666 MFV196638:MGJ196666 MPR196638:MQF196666 MZN196638:NAB196666 NJJ196638:NJX196666 NTF196638:NTT196666 ODB196638:ODP196666 OMX196638:ONL196666 OWT196638:OXH196666 PGP196638:PHD196666 PQL196638:PQZ196666 QAH196638:QAV196666 QKD196638:QKR196666 QTZ196638:QUN196666 RDV196638:REJ196666 RNR196638:ROF196666 RXN196638:RYB196666 SHJ196638:SHX196666 SRF196638:SRT196666 TBB196638:TBP196666 TKX196638:TLL196666 TUT196638:TVH196666 UEP196638:UFD196666 UOL196638:UOZ196666 UYH196638:UYV196666 VID196638:VIR196666 VRZ196638:VSN196666 WBV196638:WCJ196666 WLR196638:WMF196666 WVN196638:WWB196666 F262174:T262202 JB262174:JP262202 SX262174:TL262202 ACT262174:ADH262202 AMP262174:AND262202 AWL262174:AWZ262202 BGH262174:BGV262202 BQD262174:BQR262202 BZZ262174:CAN262202 CJV262174:CKJ262202 CTR262174:CUF262202 DDN262174:DEB262202 DNJ262174:DNX262202 DXF262174:DXT262202 EHB262174:EHP262202 EQX262174:ERL262202 FAT262174:FBH262202 FKP262174:FLD262202 FUL262174:FUZ262202 GEH262174:GEV262202 GOD262174:GOR262202 GXZ262174:GYN262202 HHV262174:HIJ262202 HRR262174:HSF262202 IBN262174:ICB262202 ILJ262174:ILX262202 IVF262174:IVT262202 JFB262174:JFP262202 JOX262174:JPL262202 JYT262174:JZH262202 KIP262174:KJD262202 KSL262174:KSZ262202 LCH262174:LCV262202 LMD262174:LMR262202 LVZ262174:LWN262202 MFV262174:MGJ262202 MPR262174:MQF262202 MZN262174:NAB262202 NJJ262174:NJX262202 NTF262174:NTT262202 ODB262174:ODP262202 OMX262174:ONL262202 OWT262174:OXH262202 PGP262174:PHD262202 PQL262174:PQZ262202 QAH262174:QAV262202 QKD262174:QKR262202 QTZ262174:QUN262202 RDV262174:REJ262202 RNR262174:ROF262202 RXN262174:RYB262202 SHJ262174:SHX262202 SRF262174:SRT262202 TBB262174:TBP262202 TKX262174:TLL262202 TUT262174:TVH262202 UEP262174:UFD262202 UOL262174:UOZ262202 UYH262174:UYV262202 VID262174:VIR262202 VRZ262174:VSN262202 WBV262174:WCJ262202 WLR262174:WMF262202 WVN262174:WWB262202 F327710:T327738 JB327710:JP327738 SX327710:TL327738 ACT327710:ADH327738 AMP327710:AND327738 AWL327710:AWZ327738 BGH327710:BGV327738 BQD327710:BQR327738 BZZ327710:CAN327738 CJV327710:CKJ327738 CTR327710:CUF327738 DDN327710:DEB327738 DNJ327710:DNX327738 DXF327710:DXT327738 EHB327710:EHP327738 EQX327710:ERL327738 FAT327710:FBH327738 FKP327710:FLD327738 FUL327710:FUZ327738 GEH327710:GEV327738 GOD327710:GOR327738 GXZ327710:GYN327738 HHV327710:HIJ327738 HRR327710:HSF327738 IBN327710:ICB327738 ILJ327710:ILX327738 IVF327710:IVT327738 JFB327710:JFP327738 JOX327710:JPL327738 JYT327710:JZH327738 KIP327710:KJD327738 KSL327710:KSZ327738 LCH327710:LCV327738 LMD327710:LMR327738 LVZ327710:LWN327738 MFV327710:MGJ327738 MPR327710:MQF327738 MZN327710:NAB327738 NJJ327710:NJX327738 NTF327710:NTT327738 ODB327710:ODP327738 OMX327710:ONL327738 OWT327710:OXH327738 PGP327710:PHD327738 PQL327710:PQZ327738 QAH327710:QAV327738 QKD327710:QKR327738 QTZ327710:QUN327738 RDV327710:REJ327738 RNR327710:ROF327738 RXN327710:RYB327738 SHJ327710:SHX327738 SRF327710:SRT327738 TBB327710:TBP327738 TKX327710:TLL327738 TUT327710:TVH327738 UEP327710:UFD327738 UOL327710:UOZ327738 UYH327710:UYV327738 VID327710:VIR327738 VRZ327710:VSN327738 WBV327710:WCJ327738 WLR327710:WMF327738 WVN327710:WWB327738 F393246:T393274 JB393246:JP393274 SX393246:TL393274 ACT393246:ADH393274 AMP393246:AND393274 AWL393246:AWZ393274 BGH393246:BGV393274 BQD393246:BQR393274 BZZ393246:CAN393274 CJV393246:CKJ393274 CTR393246:CUF393274 DDN393246:DEB393274 DNJ393246:DNX393274 DXF393246:DXT393274 EHB393246:EHP393274 EQX393246:ERL393274 FAT393246:FBH393274 FKP393246:FLD393274 FUL393246:FUZ393274 GEH393246:GEV393274 GOD393246:GOR393274 GXZ393246:GYN393274 HHV393246:HIJ393274 HRR393246:HSF393274 IBN393246:ICB393274 ILJ393246:ILX393274 IVF393246:IVT393274 JFB393246:JFP393274 JOX393246:JPL393274 JYT393246:JZH393274 KIP393246:KJD393274 KSL393246:KSZ393274 LCH393246:LCV393274 LMD393246:LMR393274 LVZ393246:LWN393274 MFV393246:MGJ393274 MPR393246:MQF393274 MZN393246:NAB393274 NJJ393246:NJX393274 NTF393246:NTT393274 ODB393246:ODP393274 OMX393246:ONL393274 OWT393246:OXH393274 PGP393246:PHD393274 PQL393246:PQZ393274 QAH393246:QAV393274 QKD393246:QKR393274 QTZ393246:QUN393274 RDV393246:REJ393274 RNR393246:ROF393274 RXN393246:RYB393274 SHJ393246:SHX393274 SRF393246:SRT393274 TBB393246:TBP393274 TKX393246:TLL393274 TUT393246:TVH393274 UEP393246:UFD393274 UOL393246:UOZ393274 UYH393246:UYV393274 VID393246:VIR393274 VRZ393246:VSN393274 WBV393246:WCJ393274 WLR393246:WMF393274 WVN393246:WWB393274 F458782:T458810 JB458782:JP458810 SX458782:TL458810 ACT458782:ADH458810 AMP458782:AND458810 AWL458782:AWZ458810 BGH458782:BGV458810 BQD458782:BQR458810 BZZ458782:CAN458810 CJV458782:CKJ458810 CTR458782:CUF458810 DDN458782:DEB458810 DNJ458782:DNX458810 DXF458782:DXT458810 EHB458782:EHP458810 EQX458782:ERL458810 FAT458782:FBH458810 FKP458782:FLD458810 FUL458782:FUZ458810 GEH458782:GEV458810 GOD458782:GOR458810 GXZ458782:GYN458810 HHV458782:HIJ458810 HRR458782:HSF458810 IBN458782:ICB458810 ILJ458782:ILX458810 IVF458782:IVT458810 JFB458782:JFP458810 JOX458782:JPL458810 JYT458782:JZH458810 KIP458782:KJD458810 KSL458782:KSZ458810 LCH458782:LCV458810 LMD458782:LMR458810 LVZ458782:LWN458810 MFV458782:MGJ458810 MPR458782:MQF458810 MZN458782:NAB458810 NJJ458782:NJX458810 NTF458782:NTT458810 ODB458782:ODP458810 OMX458782:ONL458810 OWT458782:OXH458810 PGP458782:PHD458810 PQL458782:PQZ458810 QAH458782:QAV458810 QKD458782:QKR458810 QTZ458782:QUN458810 RDV458782:REJ458810 RNR458782:ROF458810 RXN458782:RYB458810 SHJ458782:SHX458810 SRF458782:SRT458810 TBB458782:TBP458810 TKX458782:TLL458810 TUT458782:TVH458810 UEP458782:UFD458810 UOL458782:UOZ458810 UYH458782:UYV458810 VID458782:VIR458810 VRZ458782:VSN458810 WBV458782:WCJ458810 WLR458782:WMF458810 WVN458782:WWB458810 F524318:T524346 JB524318:JP524346 SX524318:TL524346 ACT524318:ADH524346 AMP524318:AND524346 AWL524318:AWZ524346 BGH524318:BGV524346 BQD524318:BQR524346 BZZ524318:CAN524346 CJV524318:CKJ524346 CTR524318:CUF524346 DDN524318:DEB524346 DNJ524318:DNX524346 DXF524318:DXT524346 EHB524318:EHP524346 EQX524318:ERL524346 FAT524318:FBH524346 FKP524318:FLD524346 FUL524318:FUZ524346 GEH524318:GEV524346 GOD524318:GOR524346 GXZ524318:GYN524346 HHV524318:HIJ524346 HRR524318:HSF524346 IBN524318:ICB524346 ILJ524318:ILX524346 IVF524318:IVT524346 JFB524318:JFP524346 JOX524318:JPL524346 JYT524318:JZH524346 KIP524318:KJD524346 KSL524318:KSZ524346 LCH524318:LCV524346 LMD524318:LMR524346 LVZ524318:LWN524346 MFV524318:MGJ524346 MPR524318:MQF524346 MZN524318:NAB524346 NJJ524318:NJX524346 NTF524318:NTT524346 ODB524318:ODP524346 OMX524318:ONL524346 OWT524318:OXH524346 PGP524318:PHD524346 PQL524318:PQZ524346 QAH524318:QAV524346 QKD524318:QKR524346 QTZ524318:QUN524346 RDV524318:REJ524346 RNR524318:ROF524346 RXN524318:RYB524346 SHJ524318:SHX524346 SRF524318:SRT524346 TBB524318:TBP524346 TKX524318:TLL524346 TUT524318:TVH524346 UEP524318:UFD524346 UOL524318:UOZ524346 UYH524318:UYV524346 VID524318:VIR524346 VRZ524318:VSN524346 WBV524318:WCJ524346 WLR524318:WMF524346 WVN524318:WWB524346 F589854:T589882 JB589854:JP589882 SX589854:TL589882 ACT589854:ADH589882 AMP589854:AND589882 AWL589854:AWZ589882 BGH589854:BGV589882 BQD589854:BQR589882 BZZ589854:CAN589882 CJV589854:CKJ589882 CTR589854:CUF589882 DDN589854:DEB589882 DNJ589854:DNX589882 DXF589854:DXT589882 EHB589854:EHP589882 EQX589854:ERL589882 FAT589854:FBH589882 FKP589854:FLD589882 FUL589854:FUZ589882 GEH589854:GEV589882 GOD589854:GOR589882 GXZ589854:GYN589882 HHV589854:HIJ589882 HRR589854:HSF589882 IBN589854:ICB589882 ILJ589854:ILX589882 IVF589854:IVT589882 JFB589854:JFP589882 JOX589854:JPL589882 JYT589854:JZH589882 KIP589854:KJD589882 KSL589854:KSZ589882 LCH589854:LCV589882 LMD589854:LMR589882 LVZ589854:LWN589882 MFV589854:MGJ589882 MPR589854:MQF589882 MZN589854:NAB589882 NJJ589854:NJX589882 NTF589854:NTT589882 ODB589854:ODP589882 OMX589854:ONL589882 OWT589854:OXH589882 PGP589854:PHD589882 PQL589854:PQZ589882 QAH589854:QAV589882 QKD589854:QKR589882 QTZ589854:QUN589882 RDV589854:REJ589882 RNR589854:ROF589882 RXN589854:RYB589882 SHJ589854:SHX589882 SRF589854:SRT589882 TBB589854:TBP589882 TKX589854:TLL589882 TUT589854:TVH589882 UEP589854:UFD589882 UOL589854:UOZ589882 UYH589854:UYV589882 VID589854:VIR589882 VRZ589854:VSN589882 WBV589854:WCJ589882 WLR589854:WMF589882 WVN589854:WWB589882 F655390:T655418 JB655390:JP655418 SX655390:TL655418 ACT655390:ADH655418 AMP655390:AND655418 AWL655390:AWZ655418 BGH655390:BGV655418 BQD655390:BQR655418 BZZ655390:CAN655418 CJV655390:CKJ655418 CTR655390:CUF655418 DDN655390:DEB655418 DNJ655390:DNX655418 DXF655390:DXT655418 EHB655390:EHP655418 EQX655390:ERL655418 FAT655390:FBH655418 FKP655390:FLD655418 FUL655390:FUZ655418 GEH655390:GEV655418 GOD655390:GOR655418 GXZ655390:GYN655418 HHV655390:HIJ655418 HRR655390:HSF655418 IBN655390:ICB655418 ILJ655390:ILX655418 IVF655390:IVT655418 JFB655390:JFP655418 JOX655390:JPL655418 JYT655390:JZH655418 KIP655390:KJD655418 KSL655390:KSZ655418 LCH655390:LCV655418 LMD655390:LMR655418 LVZ655390:LWN655418 MFV655390:MGJ655418 MPR655390:MQF655418 MZN655390:NAB655418 NJJ655390:NJX655418 NTF655390:NTT655418 ODB655390:ODP655418 OMX655390:ONL655418 OWT655390:OXH655418 PGP655390:PHD655418 PQL655390:PQZ655418 QAH655390:QAV655418 QKD655390:QKR655418 QTZ655390:QUN655418 RDV655390:REJ655418 RNR655390:ROF655418 RXN655390:RYB655418 SHJ655390:SHX655418 SRF655390:SRT655418 TBB655390:TBP655418 TKX655390:TLL655418 TUT655390:TVH655418 UEP655390:UFD655418 UOL655390:UOZ655418 UYH655390:UYV655418 VID655390:VIR655418 VRZ655390:VSN655418 WBV655390:WCJ655418 WLR655390:WMF655418 WVN655390:WWB655418 F720926:T720954 JB720926:JP720954 SX720926:TL720954 ACT720926:ADH720954 AMP720926:AND720954 AWL720926:AWZ720954 BGH720926:BGV720954 BQD720926:BQR720954 BZZ720926:CAN720954 CJV720926:CKJ720954 CTR720926:CUF720954 DDN720926:DEB720954 DNJ720926:DNX720954 DXF720926:DXT720954 EHB720926:EHP720954 EQX720926:ERL720954 FAT720926:FBH720954 FKP720926:FLD720954 FUL720926:FUZ720954 GEH720926:GEV720954 GOD720926:GOR720954 GXZ720926:GYN720954 HHV720926:HIJ720954 HRR720926:HSF720954 IBN720926:ICB720954 ILJ720926:ILX720954 IVF720926:IVT720954 JFB720926:JFP720954 JOX720926:JPL720954 JYT720926:JZH720954 KIP720926:KJD720954 KSL720926:KSZ720954 LCH720926:LCV720954 LMD720926:LMR720954 LVZ720926:LWN720954 MFV720926:MGJ720954 MPR720926:MQF720954 MZN720926:NAB720954 NJJ720926:NJX720954 NTF720926:NTT720954 ODB720926:ODP720954 OMX720926:ONL720954 OWT720926:OXH720954 PGP720926:PHD720954 PQL720926:PQZ720954 QAH720926:QAV720954 QKD720926:QKR720954 QTZ720926:QUN720954 RDV720926:REJ720954 RNR720926:ROF720954 RXN720926:RYB720954 SHJ720926:SHX720954 SRF720926:SRT720954 TBB720926:TBP720954 TKX720926:TLL720954 TUT720926:TVH720954 UEP720926:UFD720954 UOL720926:UOZ720954 UYH720926:UYV720954 VID720926:VIR720954 VRZ720926:VSN720954 WBV720926:WCJ720954 WLR720926:WMF720954 WVN720926:WWB720954 F786462:T786490 JB786462:JP786490 SX786462:TL786490 ACT786462:ADH786490 AMP786462:AND786490 AWL786462:AWZ786490 BGH786462:BGV786490 BQD786462:BQR786490 BZZ786462:CAN786490 CJV786462:CKJ786490 CTR786462:CUF786490 DDN786462:DEB786490 DNJ786462:DNX786490 DXF786462:DXT786490 EHB786462:EHP786490 EQX786462:ERL786490 FAT786462:FBH786490 FKP786462:FLD786490 FUL786462:FUZ786490 GEH786462:GEV786490 GOD786462:GOR786490 GXZ786462:GYN786490 HHV786462:HIJ786490 HRR786462:HSF786490 IBN786462:ICB786490 ILJ786462:ILX786490 IVF786462:IVT786490 JFB786462:JFP786490 JOX786462:JPL786490 JYT786462:JZH786490 KIP786462:KJD786490 KSL786462:KSZ786490 LCH786462:LCV786490 LMD786462:LMR786490 LVZ786462:LWN786490 MFV786462:MGJ786490 MPR786462:MQF786490 MZN786462:NAB786490 NJJ786462:NJX786490 NTF786462:NTT786490 ODB786462:ODP786490 OMX786462:ONL786490 OWT786462:OXH786490 PGP786462:PHD786490 PQL786462:PQZ786490 QAH786462:QAV786490 QKD786462:QKR786490 QTZ786462:QUN786490 RDV786462:REJ786490 RNR786462:ROF786490 RXN786462:RYB786490 SHJ786462:SHX786490 SRF786462:SRT786490 TBB786462:TBP786490 TKX786462:TLL786490 TUT786462:TVH786490 UEP786462:UFD786490 UOL786462:UOZ786490 UYH786462:UYV786490 VID786462:VIR786490 VRZ786462:VSN786490 WBV786462:WCJ786490 WLR786462:WMF786490 WVN786462:WWB786490 F851998:T852026 JB851998:JP852026 SX851998:TL852026 ACT851998:ADH852026 AMP851998:AND852026 AWL851998:AWZ852026 BGH851998:BGV852026 BQD851998:BQR852026 BZZ851998:CAN852026 CJV851998:CKJ852026 CTR851998:CUF852026 DDN851998:DEB852026 DNJ851998:DNX852026 DXF851998:DXT852026 EHB851998:EHP852026 EQX851998:ERL852026 FAT851998:FBH852026 FKP851998:FLD852026 FUL851998:FUZ852026 GEH851998:GEV852026 GOD851998:GOR852026 GXZ851998:GYN852026 HHV851998:HIJ852026 HRR851998:HSF852026 IBN851998:ICB852026 ILJ851998:ILX852026 IVF851998:IVT852026 JFB851998:JFP852026 JOX851998:JPL852026 JYT851998:JZH852026 KIP851998:KJD852026 KSL851998:KSZ852026 LCH851998:LCV852026 LMD851998:LMR852026 LVZ851998:LWN852026 MFV851998:MGJ852026 MPR851998:MQF852026 MZN851998:NAB852026 NJJ851998:NJX852026 NTF851998:NTT852026 ODB851998:ODP852026 OMX851998:ONL852026 OWT851998:OXH852026 PGP851998:PHD852026 PQL851998:PQZ852026 QAH851998:QAV852026 QKD851998:QKR852026 QTZ851998:QUN852026 RDV851998:REJ852026 RNR851998:ROF852026 RXN851998:RYB852026 SHJ851998:SHX852026 SRF851998:SRT852026 TBB851998:TBP852026 TKX851998:TLL852026 TUT851998:TVH852026 UEP851998:UFD852026 UOL851998:UOZ852026 UYH851998:UYV852026 VID851998:VIR852026 VRZ851998:VSN852026 WBV851998:WCJ852026 WLR851998:WMF852026 WVN851998:WWB852026 F917534:T917562 JB917534:JP917562 SX917534:TL917562 ACT917534:ADH917562 AMP917534:AND917562 AWL917534:AWZ917562 BGH917534:BGV917562 BQD917534:BQR917562 BZZ917534:CAN917562 CJV917534:CKJ917562 CTR917534:CUF917562 DDN917534:DEB917562 DNJ917534:DNX917562 DXF917534:DXT917562 EHB917534:EHP917562 EQX917534:ERL917562 FAT917534:FBH917562 FKP917534:FLD917562 FUL917534:FUZ917562 GEH917534:GEV917562 GOD917534:GOR917562 GXZ917534:GYN917562 HHV917534:HIJ917562 HRR917534:HSF917562 IBN917534:ICB917562 ILJ917534:ILX917562 IVF917534:IVT917562 JFB917534:JFP917562 JOX917534:JPL917562 JYT917534:JZH917562 KIP917534:KJD917562 KSL917534:KSZ917562 LCH917534:LCV917562 LMD917534:LMR917562 LVZ917534:LWN917562 MFV917534:MGJ917562 MPR917534:MQF917562 MZN917534:NAB917562 NJJ917534:NJX917562 NTF917534:NTT917562 ODB917534:ODP917562 OMX917534:ONL917562 OWT917534:OXH917562 PGP917534:PHD917562 PQL917534:PQZ917562 QAH917534:QAV917562 QKD917534:QKR917562 QTZ917534:QUN917562 RDV917534:REJ917562 RNR917534:ROF917562 RXN917534:RYB917562 SHJ917534:SHX917562 SRF917534:SRT917562 TBB917534:TBP917562 TKX917534:TLL917562 TUT917534:TVH917562 UEP917534:UFD917562 UOL917534:UOZ917562 UYH917534:UYV917562 VID917534:VIR917562 VRZ917534:VSN917562 WBV917534:WCJ917562 WLR917534:WMF917562 WVN917534:WWB917562 F983070:T983098 JB983070:JP983098 SX983070:TL983098 ACT983070:ADH983098 AMP983070:AND983098 AWL983070:AWZ983098 BGH983070:BGV983098 BQD983070:BQR983098 BZZ983070:CAN983098 CJV983070:CKJ983098 CTR983070:CUF983098 DDN983070:DEB983098 DNJ983070:DNX983098 DXF983070:DXT983098 EHB983070:EHP983098 EQX983070:ERL983098 FAT983070:FBH983098 FKP983070:FLD983098 FUL983070:FUZ983098 GEH983070:GEV983098 GOD983070:GOR983098 GXZ983070:GYN983098 HHV983070:HIJ983098 HRR983070:HSF983098 IBN983070:ICB983098 ILJ983070:ILX983098 IVF983070:IVT983098 JFB983070:JFP983098 JOX983070:JPL983098 JYT983070:JZH983098 KIP983070:KJD983098 KSL983070:KSZ983098 LCH983070:LCV983098 LMD983070:LMR983098 LVZ983070:LWN983098 MFV983070:MGJ983098 MPR983070:MQF983098 MZN983070:NAB983098 NJJ983070:NJX983098 NTF983070:NTT983098 ODB983070:ODP983098 OMX983070:ONL983098 OWT983070:OXH983098 PGP983070:PHD983098 PQL983070:PQZ983098 QAH983070:QAV983098 QKD983070:QKR983098 QTZ983070:QUN983098 RDV983070:REJ983098 RNR983070:ROF983098 RXN983070:RYB983098 SHJ983070:SHX983098 SRF983070:SRT983098 TBB983070:TBP983098 TKX983070:TLL983098 TUT983070:TVH983098 UEP983070:UFD983098 UOL983070:UOZ983098 UYH983070:UYV983098 VID983070:VIR983098 VRZ983070:VSN983098 WBV983070:WCJ983098 WLR983070:WMF983098 H50 F40:G50 H41 JB9:JP58 SX9:TL58 ACT9:ADH58 AMP9:AND58 AWL9:AWZ58 BGH9:BGV58 BQD9:BQR58 BZZ9:CAN58 CJV9:CKJ58 CTR9:CUF58 DDN9:DEB58 DNJ9:DNX58 DXF9:DXT58 EHB9:EHP58 EQX9:ERL58 FAT9:FBH58 FKP9:FLD58 FUL9:FUZ58 GEH9:GEV58 GOD9:GOR58 GXZ9:GYN58 HHV9:HIJ58 HRR9:HSF58 IBN9:ICB58 ILJ9:ILX58 IVF9:IVT58 JFB9:JFP58 JOX9:JPL58 JYT9:JZH58 KIP9:KJD58 KSL9:KSZ58 LCH9:LCV58 LMD9:LMR58 LVZ9:LWN58 MFV9:MGJ58 MPR9:MQF58 MZN9:NAB58 NJJ9:NJX58 NTF9:NTT58 ODB9:ODP58 OMX9:ONL58 OWT9:OXH58 PGP9:PHD58 PQL9:PQZ58 QAH9:QAV58 QKD9:QKR58 QTZ9:QUN58 RDV9:REJ58 RNR9:ROF58 RXN9:RYB58 SHJ9:SHX58 SRF9:SRT58 TBB9:TBP58 TKX9:TLL58 TUT9:TVH58 UEP9:UFD58 UOL9:UOZ58 UYH9:UYV58 VID9:VIR58 VRZ9:VSN58 WBV9:WCJ58 WLR9:WMF58 WVN9:WWB58 N46:T46 G39:T39 F52 G51:T52 F53:T58 I40:T45 I47:T50 I46:L46 F9:T38" xr:uid="{00000000-0002-0000-0100-000002000000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D2" sqref="D2"/>
    </sheetView>
  </sheetViews>
  <sheetFormatPr defaultColWidth="9" defaultRowHeight="10.199999999999999"/>
  <cols>
    <col min="1" max="1" width="8.77734375" style="72" customWidth="1"/>
    <col min="2" max="2" width="24.109375" style="72" customWidth="1"/>
    <col min="3" max="3" width="24.88671875" style="72" bestFit="1" customWidth="1"/>
    <col min="4" max="5" width="37.44140625" style="72" customWidth="1"/>
    <col min="6" max="6" width="8.21875" style="72" customWidth="1"/>
    <col min="7" max="7" width="13" style="72" customWidth="1"/>
    <col min="8" max="8" width="17.21875" style="72" customWidth="1"/>
    <col min="9" max="16384" width="9" style="72"/>
  </cols>
  <sheetData>
    <row r="1" spans="1:8" ht="20.399999999999999">
      <c r="A1" s="169" t="s">
        <v>38</v>
      </c>
      <c r="B1" s="169"/>
      <c r="C1" s="169"/>
      <c r="D1" s="169"/>
      <c r="E1" s="169"/>
      <c r="F1" s="169"/>
      <c r="G1" s="169"/>
      <c r="H1" s="169"/>
    </row>
    <row r="2" spans="1:8" ht="13.8">
      <c r="A2" s="73"/>
      <c r="B2" s="73"/>
      <c r="C2" s="74"/>
      <c r="D2" s="75" t="str">
        <f>"Pass: "&amp;COUNTIF($F$6:$F$947,"Pass")</f>
        <v>Pass: 10</v>
      </c>
      <c r="E2" s="76" t="str">
        <f>"Untested: "&amp;COUNTIF($F$6:$F$947,"Untest")</f>
        <v>Untested: 0</v>
      </c>
      <c r="F2" s="73"/>
      <c r="G2" s="77"/>
      <c r="H2" s="77"/>
    </row>
    <row r="3" spans="1:8" ht="26.4">
      <c r="A3" s="78" t="s">
        <v>39</v>
      </c>
      <c r="B3" s="103" t="s">
        <v>95</v>
      </c>
      <c r="C3" s="79"/>
      <c r="D3" s="75" t="str">
        <f>"Fail: "&amp;COUNTIF($F$6:$F$947,"Fail")</f>
        <v>Fail: 0</v>
      </c>
      <c r="E3" s="76" t="str">
        <f>"N/A: "&amp;COUNTIF($F$6:$F$947,"N/A")</f>
        <v>N/A: 0</v>
      </c>
      <c r="F3" s="73"/>
      <c r="G3" s="77"/>
      <c r="H3" s="77"/>
    </row>
    <row r="4" spans="1:8" ht="13.8">
      <c r="A4" s="80" t="s">
        <v>40</v>
      </c>
      <c r="B4" s="103"/>
      <c r="C4" s="80"/>
      <c r="D4" s="81" t="str">
        <f>"Percent Complete: "&amp;ROUND((COUNTIF($F$7:$F$947,"Pass")*100)/((COUNTA($A$7:$A$947)*5)-COUNTIF($F$6:$F$957,"N/A")),2)&amp;"%"</f>
        <v>Percent Complete: 20%</v>
      </c>
      <c r="E4" s="82" t="str">
        <f>"Number of cases: "&amp;(COUNTA($A$6:$A$947))</f>
        <v>Number of cases: 10</v>
      </c>
      <c r="F4" s="73"/>
      <c r="G4" s="77"/>
      <c r="H4" s="77"/>
    </row>
    <row r="5" spans="1:8" ht="20.399999999999999">
      <c r="A5" s="83" t="s">
        <v>41</v>
      </c>
      <c r="B5" s="83" t="s">
        <v>42</v>
      </c>
      <c r="C5" s="83" t="s">
        <v>43</v>
      </c>
      <c r="D5" s="83" t="s">
        <v>44</v>
      </c>
      <c r="E5" s="83" t="s">
        <v>45</v>
      </c>
      <c r="F5" s="83" t="s">
        <v>31</v>
      </c>
      <c r="G5" s="83" t="s">
        <v>46</v>
      </c>
      <c r="H5" s="83" t="s">
        <v>47</v>
      </c>
    </row>
    <row r="6" spans="1:8" ht="30.6">
      <c r="A6" s="104" t="s">
        <v>48</v>
      </c>
      <c r="B6" s="86" t="s">
        <v>97</v>
      </c>
      <c r="C6" s="85"/>
      <c r="D6" s="86" t="s">
        <v>100</v>
      </c>
      <c r="E6" s="86" t="s">
        <v>99</v>
      </c>
      <c r="F6" s="85" t="s">
        <v>117</v>
      </c>
      <c r="G6" s="87" t="s">
        <v>96</v>
      </c>
      <c r="H6" s="84"/>
    </row>
    <row r="7" spans="1:8" ht="30.6">
      <c r="A7" s="104" t="s">
        <v>101</v>
      </c>
      <c r="B7" s="86" t="s">
        <v>102</v>
      </c>
      <c r="C7" s="85"/>
      <c r="D7" s="86" t="s">
        <v>103</v>
      </c>
      <c r="E7" s="86" t="s">
        <v>104</v>
      </c>
      <c r="F7" s="85" t="s">
        <v>117</v>
      </c>
      <c r="G7" s="87" t="s">
        <v>96</v>
      </c>
      <c r="H7" s="85"/>
    </row>
    <row r="8" spans="1:8" ht="30.6">
      <c r="A8" s="104" t="s">
        <v>105</v>
      </c>
      <c r="B8" s="86" t="s">
        <v>106</v>
      </c>
      <c r="C8" s="85"/>
      <c r="D8" s="86" t="s">
        <v>98</v>
      </c>
      <c r="E8" s="86" t="s">
        <v>107</v>
      </c>
      <c r="F8" s="85" t="s">
        <v>117</v>
      </c>
      <c r="G8" s="87" t="s">
        <v>96</v>
      </c>
      <c r="H8" s="85"/>
    </row>
    <row r="9" spans="1:8" ht="30.6">
      <c r="A9" s="104" t="s">
        <v>108</v>
      </c>
      <c r="B9" s="86" t="s">
        <v>109</v>
      </c>
      <c r="C9" s="85"/>
      <c r="D9" s="86" t="s">
        <v>98</v>
      </c>
      <c r="E9" s="86" t="s">
        <v>110</v>
      </c>
      <c r="F9" s="85" t="s">
        <v>117</v>
      </c>
      <c r="G9" s="87" t="s">
        <v>96</v>
      </c>
      <c r="H9" s="85"/>
    </row>
    <row r="10" spans="1:8" ht="30.6">
      <c r="A10" s="104" t="s">
        <v>111</v>
      </c>
      <c r="B10" s="86" t="s">
        <v>112</v>
      </c>
      <c r="C10" s="85"/>
      <c r="D10" s="86" t="s">
        <v>98</v>
      </c>
      <c r="E10" s="86" t="s">
        <v>107</v>
      </c>
      <c r="F10" s="85" t="s">
        <v>117</v>
      </c>
      <c r="G10" s="87" t="s">
        <v>96</v>
      </c>
      <c r="H10" s="85"/>
    </row>
    <row r="11" spans="1:8" ht="30.6">
      <c r="A11" s="104" t="s">
        <v>113</v>
      </c>
      <c r="B11" s="86" t="s">
        <v>114</v>
      </c>
      <c r="C11" s="85"/>
      <c r="D11" s="86" t="s">
        <v>98</v>
      </c>
      <c r="E11" s="86" t="s">
        <v>110</v>
      </c>
      <c r="F11" s="85" t="s">
        <v>117</v>
      </c>
      <c r="G11" s="87" t="s">
        <v>96</v>
      </c>
      <c r="H11" s="85"/>
    </row>
    <row r="12" spans="1:8" ht="30.6">
      <c r="A12" s="104" t="s">
        <v>115</v>
      </c>
      <c r="B12" s="86" t="s">
        <v>116</v>
      </c>
      <c r="C12" s="85"/>
      <c r="D12" s="86" t="s">
        <v>98</v>
      </c>
      <c r="E12" s="86" t="s">
        <v>107</v>
      </c>
      <c r="F12" s="85" t="s">
        <v>117</v>
      </c>
      <c r="G12" s="87" t="s">
        <v>96</v>
      </c>
      <c r="H12" s="85"/>
    </row>
    <row r="13" spans="1:8" ht="30.6">
      <c r="A13" s="104" t="s">
        <v>118</v>
      </c>
      <c r="B13" s="86" t="s">
        <v>121</v>
      </c>
      <c r="C13" s="85"/>
      <c r="D13" s="86" t="s">
        <v>98</v>
      </c>
      <c r="E13" s="86" t="s">
        <v>110</v>
      </c>
      <c r="F13" s="85" t="s">
        <v>117</v>
      </c>
      <c r="G13" s="87" t="s">
        <v>96</v>
      </c>
      <c r="H13" s="85"/>
    </row>
    <row r="14" spans="1:8" ht="30.6">
      <c r="A14" s="104" t="s">
        <v>120</v>
      </c>
      <c r="B14" s="86" t="s">
        <v>119</v>
      </c>
      <c r="C14" s="85"/>
      <c r="D14" s="86" t="s">
        <v>98</v>
      </c>
      <c r="E14" s="86" t="s">
        <v>107</v>
      </c>
      <c r="F14" s="85" t="s">
        <v>117</v>
      </c>
      <c r="G14" s="87" t="s">
        <v>96</v>
      </c>
      <c r="H14" s="85"/>
    </row>
    <row r="15" spans="1:8" ht="30.6">
      <c r="A15" s="104" t="s">
        <v>120</v>
      </c>
      <c r="B15" s="86" t="s">
        <v>122</v>
      </c>
      <c r="C15" s="85"/>
      <c r="D15" s="86" t="s">
        <v>98</v>
      </c>
      <c r="E15" s="86" t="s">
        <v>110</v>
      </c>
      <c r="F15" s="85" t="s">
        <v>117</v>
      </c>
      <c r="G15" s="87" t="s">
        <v>96</v>
      </c>
      <c r="H15" s="85"/>
    </row>
    <row r="17" spans="2:3">
      <c r="B17" s="2" t="s">
        <v>4</v>
      </c>
      <c r="C17" s="3" t="s">
        <v>5</v>
      </c>
    </row>
  </sheetData>
  <mergeCells count="1">
    <mergeCell ref="A1:H1"/>
  </mergeCells>
  <dataValidations count="1">
    <dataValidation type="list" operator="equal" allowBlank="1" sqref="F6:F15" xr:uid="{00000000-0002-0000-0200-000000000000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2025-08-04T15:35:42Z</dcterms:modified>
</cp:coreProperties>
</file>