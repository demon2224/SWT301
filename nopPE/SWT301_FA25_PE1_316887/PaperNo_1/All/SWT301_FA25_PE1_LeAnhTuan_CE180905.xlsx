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ABD13A2-8C17-4834-ADA0-756B3B8B7895}" xr6:coauthVersionLast="47" xr6:coauthVersionMax="47" xr10:uidLastSave="{00000000-0000-0000-0000-000000000000}"/>
  <bookViews>
    <workbookView xWindow="7110" yWindow="1860" windowWidth="15915" windowHeight="12945" activeTab="2" xr2:uid="{00000000-000D-0000-FFFF-FFFF00000000}"/>
  </bookViews>
  <sheets>
    <sheet name="Q1" sheetId="2" r:id="rId1"/>
    <sheet name="Q2" sheetId="3" r:id="rId2"/>
    <sheet name="Q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E3" i="4"/>
  <c r="D3" i="4"/>
  <c r="E2" i="4"/>
  <c r="D2" i="4"/>
  <c r="O6" i="3"/>
  <c r="N6" i="3"/>
  <c r="M6" i="3"/>
  <c r="L6" i="3"/>
  <c r="C6" i="3"/>
  <c r="A6" i="3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<sst xmlns="http://schemas.openxmlformats.org/spreadsheetml/2006/main" count="226" uniqueCount="112">
  <si>
    <t>Issue No</t>
  </si>
  <si>
    <t>Description</t>
  </si>
  <si>
    <t>Line</t>
  </si>
  <si>
    <t>Detail</t>
  </si>
  <si>
    <t>* Notes:</t>
  </si>
  <si>
    <t xml:space="preserve">Blue text is sample, needed to be deleted in the answer </t>
  </si>
  <si>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</si>
  <si>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</si>
  <si>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</si>
  <si>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</si>
  <si>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</si>
  <si>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</si>
  <si>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</si>
  <si>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</si>
  <si>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</si>
  <si>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</si>
  <si>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</si>
  <si>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</si>
  <si>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</si>
  <si>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</si>
  <si>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</si>
  <si>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</si>
  <si>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</si>
  <si>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Input condition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</si>
  <si>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</si>
  <si>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</si>
  <si>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</si>
  <si>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</si>
  <si>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</si>
  <si>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</si>
  <si>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</si>
  <si>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</si>
  <si>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</si>
  <si>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</si>
  <si>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</si>
  <si>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</si>
  <si>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</si>
  <si>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</si>
  <si>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</si>
  <si>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</si>
  <si>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</si>
  <si>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</si>
  <si>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</si>
  <si>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</si>
  <si>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</si>
  <si>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</si>
  <si>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</si>
  <si>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 xml:space="preserve">Class is not declared that is public </t>
  </si>
  <si>
    <t>class happyNumber</t>
  </si>
  <si>
    <t>Name of class is not correct syntax</t>
  </si>
  <si>
    <t>Lê Anh Tuấn</t>
  </si>
  <si>
    <t>calculateInsuranceFee</t>
  </si>
  <si>
    <t>vehicleType</t>
  </si>
  <si>
    <t>age</t>
  </si>
  <si>
    <t>yearsExperience</t>
  </si>
  <si>
    <t>UTCID04</t>
  </si>
  <si>
    <t>UTCID05</t>
  </si>
  <si>
    <t>isVIP is TRUE/FALSE</t>
  </si>
  <si>
    <t>isVIP</t>
  </si>
  <si>
    <t>yearsExperience &gt; 0</t>
  </si>
  <si>
    <t>age &gt; 0</t>
  </si>
  <si>
    <t>vehicleType &gt; 0</t>
  </si>
  <si>
    <t>Pass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</si>
  <si>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</si>
  <si>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</si>
  <si>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</si>
  <si>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</si>
  <si>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</si>
  <si>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</si>
  <si>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</si>
  <si>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</si>
  <si>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Volume Calculator</t>
  </si>
  <si>
    <t>Design and create the minium component test case (Unit Test case) need to achieve 100% statement covergage and 100% decision coverage</t>
  </si>
  <si>
    <t>20/11/2025</t>
  </si>
  <si>
    <t>P</t>
  </si>
  <si>
    <t>1. Select "Recangular Prism" in Dropdown.
2. Input Length is "3"
3. Input Width is "4"
4. Input Height is "5"
5. Click "Calculate Volume"</t>
  </si>
  <si>
    <t>Displays the error message "Please enter valid positive number for all required fields!"</t>
  </si>
  <si>
    <t>Length field is empty</t>
  </si>
  <si>
    <t>Width field is empty</t>
  </si>
  <si>
    <t>Height field is empty</t>
  </si>
  <si>
    <t>Normal</t>
  </si>
  <si>
    <t>Select Shape not selected</t>
  </si>
  <si>
    <t>Valid input with Rectangular method</t>
  </si>
  <si>
    <t>Valid input with Sphere method</t>
  </si>
  <si>
    <t>Valid input with Cylinder method</t>
  </si>
  <si>
    <t>Valid input with Cone method</t>
  </si>
  <si>
    <t>1. Select "Sphere" in Dropdown.
2. Input Radius is "3"
3. Click "Calculate Volume"</t>
  </si>
  <si>
    <t>Display "Volume = 113.04 cm3"</t>
  </si>
  <si>
    <t>Display "Volume = 60.00 cm3"</t>
  </si>
  <si>
    <t>1. Select "Cylinder" in Dropdown.
2. Input Radius is "3"
3. Input Height is "5"
4. Click "Calculate Volume"</t>
  </si>
  <si>
    <t>Display "Volume = 47.10 cm3"</t>
  </si>
  <si>
    <t>1. Select "Cone" in Dropdown.
2. Input Radius is "3"
3. Input Height is "5"
4. Click "Calculate Volume"</t>
  </si>
  <si>
    <t>Display "Volume = 141.30 cm3"</t>
  </si>
  <si>
    <t>1. Click "Calculate Volume"</t>
  </si>
  <si>
    <t xml:space="preserve">Valid input with Sphere method
Radius field is empty
</t>
  </si>
  <si>
    <t>1. Select "Recangular Prism" in Dropdown.
2. Input Width is "4"
3. Input Height is "5"
4. Click "Calculate Volume"</t>
  </si>
  <si>
    <t>1. Select "Recangular Prism" in Dropdown.
2. Input Length is "3"
3. Input Height is "5"
4. Click "Calculate Volume"</t>
  </si>
  <si>
    <t>1. Select "Recangular Prism" in Dropdown.
2. Input Length is "3"
3. Input Width is "4"
4. Click "Calculate Volume"</t>
  </si>
  <si>
    <t>1. Select "Sphere" in Dropdown.
2. Click "Calculate Volume"</t>
  </si>
  <si>
    <t>TC010</t>
  </si>
  <si>
    <t>TC011</t>
  </si>
  <si>
    <t>TC012</t>
  </si>
  <si>
    <t>Valid input with Cylinder method
Radius field is empty</t>
  </si>
  <si>
    <t>Valid input with Cylinder method
Height field is empty</t>
  </si>
  <si>
    <t>1. Select "Cylinder" in Dropdown.
2. Input Height is "5"
3. Click "Calculate Volume"</t>
  </si>
  <si>
    <t>1. Select "Cylinder" in Dropdown.
2. Input Radius is "3"
3. Click "Calculate Volume"</t>
  </si>
  <si>
    <t>Valid input with Cone method
Radius field is empty</t>
  </si>
  <si>
    <t>Valid input with Cone method
Height field is empty</t>
  </si>
  <si>
    <t>1. Select "Cone" in Dropdown.
2. Input Radius is "3"
3. Click "Calculate Volume"</t>
  </si>
  <si>
    <t>1. Select "Cone" in Dropdown.
2. Input Height is "5"
3. Click "Calculate Volume"</t>
  </si>
  <si>
    <t>The calculator is ready for input</t>
  </si>
  <si>
    <t>Invalid 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</si>
</sst>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i/>
      <sz val="8"/>
      <color theme="4"/>
      <name val="Tahoma"/>
      <family val="2"/>
    </font>
    <font>
      <sz val="8"/>
      <color theme="4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b/>
      <sz val="12"/>
      <name val="Tahoma"/>
      <family val="2"/>
    </font>
    <font>
      <b/>
      <sz val="8"/>
      <color theme="4"/>
      <name val="Tahoma"/>
      <family val="2"/>
    </font>
    <font>
      <b/>
      <sz val="8"/>
      <color rgb="FFFF0000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name val="Tahoma"/>
      <family val="2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color indexed="8"/>
      <name val="Times New Roman"/>
      <family val="1"/>
    </font>
    <font>
      <sz val="11"/>
      <name val="Arial"/>
      <family val="2"/>
      <scheme val="minor"/>
    </font>
    <font>
      <i/>
      <sz val="8"/>
      <color theme="1"/>
      <name val="Tahoma"/>
      <family val="2"/>
    </font>
    <font>
      <sz val="8"/>
      <color theme="1"/>
      <name val="Tahoma"/>
      <family val="2"/>
    </font>
    <font>
      <sz val="8"/>
      <name val="Arial"/>
      <family val="2"/>
      <scheme val="minor"/>
    </font>
    <font>
      <sz val="10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3" fillId="0" borderId="0" applyNumberFormat="0" applyFill="0" applyBorder="0" applyAlignment="0" applyProtection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4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8" fillId="4" borderId="12" xfId="2" applyFont="1" applyFill="1" applyBorder="1" applyAlignment="1">
      <alignment wrapText="1"/>
    </xf>
    <xf numFmtId="0" fontId="8" fillId="4" borderId="17" xfId="2" applyFont="1" applyFill="1" applyBorder="1" applyAlignment="1">
      <alignment wrapText="1"/>
    </xf>
    <xf numFmtId="0" fontId="8" fillId="4" borderId="19" xfId="2" applyFont="1" applyFill="1" applyBorder="1" applyAlignment="1">
      <alignment horizontal="left" wrapText="1"/>
    </xf>
    <xf numFmtId="0" fontId="7" fillId="3" borderId="31" xfId="1" applyFont="1" applyFill="1" applyBorder="1" applyAlignment="1">
      <alignment horizontal="center" vertical="center"/>
    </xf>
    <xf numFmtId="0" fontId="7" fillId="0" borderId="33" xfId="1" applyFont="1" applyBorder="1"/>
    <xf numFmtId="0" fontId="3" fillId="0" borderId="0" xfId="1" applyFont="1" applyAlignment="1">
      <alignment horizontal="left"/>
    </xf>
    <xf numFmtId="0" fontId="7" fillId="0" borderId="0" xfId="1" applyFont="1" applyAlignment="1">
      <alignment horizontal="right"/>
    </xf>
    <xf numFmtId="0" fontId="10" fillId="2" borderId="35" xfId="1" applyFont="1" applyFill="1" applyBorder="1"/>
    <xf numFmtId="0" fontId="11" fillId="2" borderId="36" xfId="1" applyFont="1" applyFill="1" applyBorder="1" applyAlignment="1">
      <alignment vertical="top" textRotation="180"/>
    </xf>
    <xf numFmtId="49" fontId="7" fillId="0" borderId="0" xfId="1" applyNumberFormat="1" applyFont="1" applyAlignment="1">
      <alignment horizontal="center"/>
    </xf>
    <xf numFmtId="0" fontId="11" fillId="2" borderId="37" xfId="1" applyFont="1" applyFill="1" applyBorder="1" applyAlignment="1">
      <alignment vertical="center"/>
    </xf>
    <xf numFmtId="0" fontId="3" fillId="6" borderId="38" xfId="1" applyFont="1" applyFill="1" applyBorder="1" applyAlignment="1">
      <alignment horizontal="left" vertical="top"/>
    </xf>
    <xf numFmtId="0" fontId="7" fillId="6" borderId="3" xfId="1" applyFont="1" applyFill="1" applyBorder="1" applyAlignment="1">
      <alignment horizontal="center" vertical="top"/>
    </xf>
    <xf numFmtId="0" fontId="7" fillId="6" borderId="5" xfId="1" applyFont="1" applyFill="1" applyBorder="1" applyAlignment="1">
      <alignment horizontal="right" vertical="top"/>
    </xf>
    <xf numFmtId="0" fontId="13" fillId="0" borderId="40" xfId="1" applyFont="1" applyBorder="1" applyAlignment="1">
      <alignment horizontal="center"/>
    </xf>
    <xf numFmtId="0" fontId="11" fillId="2" borderId="41" xfId="1" applyFont="1" applyFill="1" applyBorder="1" applyAlignment="1">
      <alignment vertical="center"/>
    </xf>
    <xf numFmtId="0" fontId="3" fillId="6" borderId="15" xfId="1" applyFont="1" applyFill="1" applyBorder="1" applyAlignment="1">
      <alignment horizontal="left" vertical="top"/>
    </xf>
    <xf numFmtId="0" fontId="7" fillId="6" borderId="15" xfId="1" applyFont="1" applyFill="1" applyBorder="1" applyAlignment="1">
      <alignment horizontal="center" vertical="top"/>
    </xf>
    <xf numFmtId="0" fontId="6" fillId="6" borderId="16" xfId="1" applyFont="1" applyFill="1" applyBorder="1" applyAlignment="1">
      <alignment horizontal="right" vertical="top"/>
    </xf>
    <xf numFmtId="0" fontId="13" fillId="0" borderId="1" xfId="1" applyFont="1" applyBorder="1" applyAlignment="1">
      <alignment horizontal="center"/>
    </xf>
    <xf numFmtId="0" fontId="6" fillId="0" borderId="42" xfId="1" applyFont="1" applyBorder="1" applyAlignment="1">
      <alignment vertical="top"/>
    </xf>
    <xf numFmtId="0" fontId="14" fillId="6" borderId="15" xfId="1" applyFont="1" applyFill="1" applyBorder="1" applyAlignment="1">
      <alignment horizontal="left" vertical="top"/>
    </xf>
    <xf numFmtId="0" fontId="15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7" fillId="6" borderId="16" xfId="1" applyFont="1" applyFill="1" applyBorder="1" applyAlignment="1">
      <alignment horizontal="right" vertical="top"/>
    </xf>
    <xf numFmtId="0" fontId="3" fillId="6" borderId="44" xfId="1" applyFont="1" applyFill="1" applyBorder="1" applyAlignment="1">
      <alignment horizontal="left" vertical="top"/>
    </xf>
    <xf numFmtId="0" fontId="11" fillId="2" borderId="37" xfId="1" applyFont="1" applyFill="1" applyBorder="1" applyAlignment="1">
      <alignment vertical="top"/>
    </xf>
    <xf numFmtId="0" fontId="3" fillId="6" borderId="46" xfId="1" applyFont="1" applyFill="1" applyBorder="1"/>
    <xf numFmtId="0" fontId="3" fillId="6" borderId="3" xfId="1" applyFont="1" applyFill="1" applyBorder="1"/>
    <xf numFmtId="0" fontId="7" fillId="6" borderId="5" xfId="1" applyFont="1" applyFill="1" applyBorder="1" applyAlignment="1">
      <alignment horizontal="right"/>
    </xf>
    <xf numFmtId="0" fontId="13" fillId="0" borderId="47" xfId="1" applyFont="1" applyBorder="1" applyAlignment="1">
      <alignment horizontal="center"/>
    </xf>
    <xf numFmtId="0" fontId="11" fillId="2" borderId="41" xfId="1" applyFont="1" applyFill="1" applyBorder="1" applyAlignment="1">
      <alignment vertical="top"/>
    </xf>
    <xf numFmtId="0" fontId="3" fillId="6" borderId="44" xfId="1" applyFont="1" applyFill="1" applyBorder="1"/>
    <xf numFmtId="0" fontId="7" fillId="6" borderId="15" xfId="1" applyFont="1" applyFill="1" applyBorder="1"/>
    <xf numFmtId="0" fontId="6" fillId="6" borderId="16" xfId="1" applyFont="1" applyFill="1" applyBorder="1" applyAlignment="1">
      <alignment horizontal="right"/>
    </xf>
    <xf numFmtId="0" fontId="16" fillId="6" borderId="15" xfId="1" applyFont="1" applyFill="1" applyBorder="1"/>
    <xf numFmtId="0" fontId="7" fillId="6" borderId="16" xfId="1" applyFont="1" applyFill="1" applyBorder="1" applyAlignment="1">
      <alignment horizontal="right"/>
    </xf>
    <xf numFmtId="0" fontId="11" fillId="2" borderId="45" xfId="1" applyFont="1" applyFill="1" applyBorder="1" applyAlignment="1">
      <alignment vertical="top"/>
    </xf>
    <xf numFmtId="0" fontId="3" fillId="6" borderId="48" xfId="1" applyFont="1" applyFill="1" applyBorder="1"/>
    <xf numFmtId="0" fontId="7" fillId="6" borderId="49" xfId="1" applyFont="1" applyFill="1" applyBorder="1"/>
    <xf numFmtId="0" fontId="6" fillId="6" borderId="50" xfId="1" applyFont="1" applyFill="1" applyBorder="1" applyAlignment="1">
      <alignment horizontal="right"/>
    </xf>
    <xf numFmtId="0" fontId="13" fillId="0" borderId="51" xfId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0" fontId="7" fillId="0" borderId="40" xfId="1" applyFont="1" applyBorder="1" applyAlignment="1">
      <alignment horizontal="center"/>
    </xf>
    <xf numFmtId="0" fontId="17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0" fontId="7" fillId="0" borderId="1" xfId="1" applyFont="1" applyBorder="1"/>
    <xf numFmtId="165" fontId="7" fillId="0" borderId="1" xfId="1" applyNumberFormat="1" applyFont="1" applyBorder="1" applyAlignment="1">
      <alignment vertical="top" textRotation="255"/>
    </xf>
    <xf numFmtId="0" fontId="7" fillId="0" borderId="51" xfId="1" applyFont="1" applyBorder="1"/>
    <xf numFmtId="0" fontId="7" fillId="0" borderId="51" xfId="1" applyFont="1" applyBorder="1" applyAlignment="1">
      <alignment textRotation="255"/>
    </xf>
    <xf numFmtId="0" fontId="12" fillId="0" borderId="0" xfId="1" applyFont="1" applyAlignment="1">
      <alignment vertical="top"/>
    </xf>
    <xf numFmtId="0" fontId="7" fillId="2" borderId="0" xfId="1" applyFont="1" applyFill="1"/>
    <xf numFmtId="0" fontId="3" fillId="2" borderId="0" xfId="1" applyFont="1" applyFill="1" applyAlignment="1">
      <alignment horizontal="left"/>
    </xf>
    <xf numFmtId="0" fontId="7" fillId="0" borderId="0" xfId="0" applyFont="1"/>
    <xf numFmtId="0" fontId="22" fillId="0" borderId="0" xfId="0" applyFont="1"/>
    <xf numFmtId="0" fontId="24" fillId="0" borderId="52" xfId="3" applyFont="1" applyFill="1" applyBorder="1" applyAlignment="1">
      <alignment horizontal="left" vertical="top" wrapText="1"/>
    </xf>
    <xf numFmtId="0" fontId="25" fillId="0" borderId="52" xfId="0" applyFont="1" applyBorder="1" applyAlignment="1">
      <alignment horizontal="left" vertical="top" wrapText="1"/>
    </xf>
    <xf numFmtId="0" fontId="25" fillId="0" borderId="52" xfId="0" applyFont="1" applyBorder="1" applyAlignment="1">
      <alignment vertical="top" wrapText="1"/>
    </xf>
    <xf numFmtId="0" fontId="25" fillId="0" borderId="0" xfId="0" applyFont="1"/>
    <xf numFmtId="0" fontId="26" fillId="0" borderId="52" xfId="2" applyFont="1" applyBorder="1" applyAlignment="1">
      <alignment horizontal="left" vertical="top" wrapText="1"/>
    </xf>
    <xf numFmtId="0" fontId="25" fillId="0" borderId="52" xfId="2" applyFont="1" applyBorder="1" applyAlignment="1">
      <alignment horizontal="left" vertical="top" wrapText="1"/>
    </xf>
    <xf numFmtId="0" fontId="26" fillId="0" borderId="53" xfId="2" applyFont="1" applyBorder="1" applyAlignment="1">
      <alignment horizontal="left" vertical="top" wrapText="1"/>
    </xf>
    <xf numFmtId="0" fontId="25" fillId="0" borderId="53" xfId="0" applyFont="1" applyBorder="1" applyAlignment="1">
      <alignment horizontal="left" vertical="top" wrapText="1"/>
    </xf>
    <xf numFmtId="2" fontId="25" fillId="0" borderId="53" xfId="0" applyNumberFormat="1" applyFont="1" applyBorder="1" applyAlignment="1">
      <alignment vertical="top" wrapText="1"/>
    </xf>
    <xf numFmtId="0" fontId="3" fillId="5" borderId="1" xfId="2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 wrapText="1"/>
    </xf>
    <xf numFmtId="16" fontId="7" fillId="8" borderId="1" xfId="0" applyNumberFormat="1" applyFont="1" applyFill="1" applyBorder="1" applyAlignment="1">
      <alignment horizontal="left" vertical="top"/>
    </xf>
    <xf numFmtId="0" fontId="8" fillId="9" borderId="39" xfId="1" applyFont="1" applyFill="1" applyBorder="1" applyAlignment="1">
      <alignment horizontal="right"/>
    </xf>
    <xf numFmtId="0" fontId="5" fillId="9" borderId="42" xfId="1" applyFont="1" applyFill="1" applyBorder="1" applyAlignment="1">
      <alignment horizontal="right"/>
    </xf>
    <xf numFmtId="0" fontId="6" fillId="9" borderId="42" xfId="1" applyFont="1" applyFill="1" applyBorder="1" applyAlignment="1">
      <alignment horizontal="right"/>
    </xf>
    <xf numFmtId="0" fontId="7" fillId="9" borderId="42" xfId="1" applyFont="1" applyFill="1" applyBorder="1" applyAlignment="1">
      <alignment horizontal="right"/>
    </xf>
    <xf numFmtId="0" fontId="7" fillId="9" borderId="47" xfId="1" applyFont="1" applyFill="1" applyBorder="1" applyAlignment="1">
      <alignment horizontal="left"/>
    </xf>
    <xf numFmtId="0" fontId="7" fillId="9" borderId="1" xfId="1" applyFont="1" applyFill="1" applyBorder="1" applyAlignment="1">
      <alignment horizontal="left"/>
    </xf>
    <xf numFmtId="0" fontId="7" fillId="9" borderId="1" xfId="1" applyFont="1" applyFill="1" applyBorder="1"/>
    <xf numFmtId="0" fontId="7" fillId="9" borderId="51" xfId="1" applyFont="1" applyFill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28" fillId="0" borderId="1" xfId="0" applyFont="1" applyBorder="1" applyAlignment="1">
      <alignment vertical="top" wrapText="1"/>
    </xf>
    <xf numFmtId="0" fontId="11" fillId="6" borderId="15" xfId="1" applyFont="1" applyFill="1" applyBorder="1" applyAlignment="1">
      <alignment horizontal="left" vertical="top"/>
    </xf>
    <xf numFmtId="0" fontId="30" fillId="6" borderId="15" xfId="1" applyFont="1" applyFill="1" applyBorder="1" applyAlignment="1">
      <alignment horizontal="center" vertical="top"/>
    </xf>
    <xf numFmtId="0" fontId="30" fillId="6" borderId="16" xfId="1" applyFont="1" applyFill="1" applyBorder="1" applyAlignment="1">
      <alignment horizontal="right" vertical="top"/>
    </xf>
    <xf numFmtId="0" fontId="30" fillId="6" borderId="43" xfId="1" applyFont="1" applyFill="1" applyBorder="1" applyAlignment="1">
      <alignment horizontal="right" vertical="top"/>
    </xf>
    <xf numFmtId="0" fontId="30" fillId="9" borderId="42" xfId="1" applyFont="1" applyFill="1" applyBorder="1" applyAlignment="1">
      <alignment horizontal="right"/>
    </xf>
    <xf numFmtId="0" fontId="30" fillId="6" borderId="16" xfId="1" applyFont="1" applyFill="1" applyBorder="1" applyAlignment="1">
      <alignment horizontal="right"/>
    </xf>
    <xf numFmtId="0" fontId="7" fillId="7" borderId="1" xfId="2" applyFont="1" applyFill="1" applyBorder="1" applyAlignment="1">
      <alignment horizontal="left" vertical="top" wrapText="1"/>
    </xf>
    <xf numFmtId="0" fontId="32" fillId="0" borderId="53" xfId="2" applyFont="1" applyBorder="1" applyAlignment="1">
      <alignment horizontal="left" vertical="top" wrapText="1"/>
    </xf>
    <xf numFmtId="0" fontId="30" fillId="8" borderId="1" xfId="0" applyFont="1" applyFill="1" applyBorder="1" applyAlignment="1">
      <alignment horizontal="left" vertical="top" wrapText="1"/>
    </xf>
    <xf numFmtId="0" fontId="3" fillId="3" borderId="2" xfId="2" applyFont="1" applyFill="1" applyBorder="1" applyAlignment="1">
      <alignment horizontal="left" wrapText="1"/>
    </xf>
    <xf numFmtId="0" fontId="3" fillId="3" borderId="3" xfId="2" applyFont="1" applyFill="1" applyBorder="1" applyAlignment="1">
      <alignment horizontal="left" wrapText="1"/>
    </xf>
    <xf numFmtId="49" fontId="29" fillId="4" borderId="4" xfId="2" applyNumberFormat="1" applyFont="1" applyFill="1" applyBorder="1" applyAlignment="1">
      <alignment horizontal="left" wrapText="1"/>
    </xf>
    <xf numFmtId="0" fontId="29" fillId="4" borderId="3" xfId="2" applyFont="1" applyFill="1" applyBorder="1" applyAlignment="1">
      <alignment horizontal="left" wrapText="1"/>
    </xf>
    <xf numFmtId="0" fontId="29" fillId="4" borderId="5" xfId="2" applyFont="1" applyFill="1" applyBorder="1" applyAlignment="1">
      <alignment horizontal="left" wrapText="1"/>
    </xf>
    <xf numFmtId="0" fontId="3" fillId="3" borderId="6" xfId="2" applyFont="1" applyFill="1" applyBorder="1" applyAlignment="1">
      <alignment horizontal="left" wrapText="1"/>
    </xf>
    <xf numFmtId="0" fontId="3" fillId="3" borderId="7" xfId="2" applyFont="1" applyFill="1" applyBorder="1" applyAlignment="1">
      <alignment horizontal="left" wrapText="1"/>
    </xf>
    <xf numFmtId="49" fontId="30" fillId="4" borderId="4" xfId="2" applyNumberFormat="1" applyFont="1" applyFill="1" applyBorder="1" applyAlignment="1">
      <alignment horizontal="center" wrapText="1"/>
    </xf>
    <xf numFmtId="0" fontId="30" fillId="4" borderId="3" xfId="2" applyFont="1" applyFill="1" applyBorder="1" applyAlignment="1">
      <alignment horizontal="center" wrapText="1"/>
    </xf>
    <xf numFmtId="0" fontId="30" fillId="4" borderId="8" xfId="2" applyFont="1" applyFill="1" applyBorder="1" applyAlignment="1">
      <alignment horizontal="center" wrapText="1"/>
    </xf>
    <xf numFmtId="0" fontId="3" fillId="3" borderId="9" xfId="2" applyFont="1" applyFill="1" applyBorder="1" applyAlignment="1">
      <alignment horizontal="left" wrapText="1"/>
    </xf>
    <xf numFmtId="0" fontId="3" fillId="3" borderId="10" xfId="2" applyFont="1" applyFill="1" applyBorder="1" applyAlignment="1">
      <alignment horizontal="left" wrapText="1"/>
    </xf>
    <xf numFmtId="0" fontId="29" fillId="4" borderId="11" xfId="2" applyFont="1" applyFill="1" applyBorder="1" applyAlignment="1">
      <alignment horizontal="left" wrapText="1"/>
    </xf>
    <xf numFmtId="0" fontId="29" fillId="4" borderId="12" xfId="2" applyFont="1" applyFill="1" applyBorder="1" applyAlignment="1">
      <alignment horizontal="left" wrapText="1"/>
    </xf>
    <xf numFmtId="0" fontId="29" fillId="4" borderId="13" xfId="2" applyFont="1" applyFill="1" applyBorder="1" applyAlignment="1">
      <alignment horizontal="left" wrapText="1"/>
    </xf>
    <xf numFmtId="0" fontId="3" fillId="3" borderId="14" xfId="2" applyFont="1" applyFill="1" applyBorder="1" applyAlignment="1">
      <alignment horizontal="left" wrapText="1"/>
    </xf>
    <xf numFmtId="0" fontId="3" fillId="3" borderId="15" xfId="2" applyFont="1" applyFill="1" applyBorder="1" applyAlignment="1">
      <alignment horizontal="left" wrapText="1"/>
    </xf>
    <xf numFmtId="0" fontId="3" fillId="3" borderId="16" xfId="2" applyFont="1" applyFill="1" applyBorder="1" applyAlignment="1">
      <alignment horizontal="left" wrapText="1"/>
    </xf>
    <xf numFmtId="0" fontId="8" fillId="4" borderId="12" xfId="2" applyFont="1" applyFill="1" applyBorder="1" applyAlignment="1">
      <alignment horizontal="left" wrapText="1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31" xfId="1" applyFont="1" applyFill="1" applyBorder="1" applyAlignment="1">
      <alignment horizontal="center" vertical="center"/>
    </xf>
    <xf numFmtId="0" fontId="7" fillId="3" borderId="32" xfId="1" applyFont="1" applyFill="1" applyBorder="1" applyAlignment="1">
      <alignment horizontal="center" vertical="center"/>
    </xf>
    <xf numFmtId="0" fontId="29" fillId="4" borderId="18" xfId="2" applyFont="1" applyFill="1" applyBorder="1" applyAlignment="1">
      <alignment horizontal="center" wrapText="1"/>
    </xf>
    <xf numFmtId="0" fontId="29" fillId="4" borderId="19" xfId="2" applyFont="1" applyFill="1" applyBorder="1" applyAlignment="1">
      <alignment horizontal="center" wrapText="1"/>
    </xf>
    <xf numFmtId="0" fontId="7" fillId="3" borderId="20" xfId="2" applyFont="1" applyFill="1" applyBorder="1" applyAlignment="1">
      <alignment horizontal="center" wrapText="1"/>
    </xf>
    <xf numFmtId="0" fontId="7" fillId="3" borderId="19" xfId="2" applyFont="1" applyFill="1" applyBorder="1" applyAlignment="1">
      <alignment horizontal="center" wrapText="1"/>
    </xf>
    <xf numFmtId="0" fontId="7" fillId="3" borderId="21" xfId="2" applyFont="1" applyFill="1" applyBorder="1" applyAlignment="1">
      <alignment horizontal="center" wrapText="1"/>
    </xf>
    <xf numFmtId="0" fontId="29" fillId="4" borderId="22" xfId="2" applyFont="1" applyFill="1" applyBorder="1" applyAlignment="1">
      <alignment horizontal="left" wrapText="1"/>
    </xf>
    <xf numFmtId="0" fontId="29" fillId="4" borderId="23" xfId="2" applyFont="1" applyFill="1" applyBorder="1" applyAlignment="1">
      <alignment horizontal="left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7" fillId="0" borderId="43" xfId="1" applyFont="1" applyBorder="1" applyAlignment="1">
      <alignment horizontal="left"/>
    </xf>
    <xf numFmtId="0" fontId="7" fillId="0" borderId="40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6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0" fontId="7" fillId="0" borderId="50" xfId="1" applyFont="1" applyBorder="1" applyAlignment="1">
      <alignment horizontal="left" vertical="top"/>
    </xf>
    <xf numFmtId="0" fontId="7" fillId="0" borderId="51" xfId="1" applyFont="1" applyBorder="1" applyAlignment="1">
      <alignment horizontal="left" vertical="top"/>
    </xf>
    <xf numFmtId="164" fontId="9" fillId="5" borderId="34" xfId="1" applyNumberFormat="1" applyFont="1" applyFill="1" applyBorder="1" applyAlignment="1">
      <alignment horizontal="center" vertical="center"/>
    </xf>
    <xf numFmtId="164" fontId="9" fillId="5" borderId="35" xfId="1" applyNumberFormat="1" applyFont="1" applyFill="1" applyBorder="1" applyAlignment="1">
      <alignment horizontal="center" vertical="center"/>
    </xf>
    <xf numFmtId="0" fontId="30" fillId="0" borderId="38" xfId="1" applyFont="1" applyBorder="1" applyAlignment="1">
      <alignment horizontal="right"/>
    </xf>
    <xf numFmtId="0" fontId="30" fillId="0" borderId="43" xfId="1" applyFont="1" applyBorder="1" applyAlignment="1">
      <alignment horizontal="right"/>
    </xf>
    <xf numFmtId="0" fontId="30" fillId="0" borderId="15" xfId="1" applyFont="1" applyBorder="1" applyAlignment="1">
      <alignment horizontal="right"/>
    </xf>
    <xf numFmtId="0" fontId="30" fillId="0" borderId="16" xfId="1" applyFont="1" applyBorder="1" applyAlignment="1">
      <alignment horizontal="right"/>
    </xf>
    <xf numFmtId="0" fontId="30" fillId="0" borderId="0" xfId="1" applyFont="1" applyAlignment="1">
      <alignment horizontal="right"/>
    </xf>
    <xf numFmtId="0" fontId="30" fillId="0" borderId="42" xfId="1" applyFont="1" applyBorder="1" applyAlignment="1">
      <alignment horizontal="right"/>
    </xf>
    <xf numFmtId="0" fontId="6" fillId="0" borderId="38" xfId="1" applyFont="1" applyBorder="1" applyAlignment="1">
      <alignment horizontal="right"/>
    </xf>
    <xf numFmtId="0" fontId="6" fillId="0" borderId="43" xfId="1" applyFont="1" applyBorder="1" applyAlignment="1">
      <alignment horizontal="right"/>
    </xf>
    <xf numFmtId="0" fontId="30" fillId="6" borderId="44" xfId="1" applyFont="1" applyFill="1" applyBorder="1" applyAlignment="1">
      <alignment horizontal="right" vertical="top"/>
    </xf>
    <xf numFmtId="0" fontId="30" fillId="6" borderId="15" xfId="1" applyFont="1" applyFill="1" applyBorder="1" applyAlignment="1">
      <alignment horizontal="right" vertical="top"/>
    </xf>
    <xf numFmtId="0" fontId="21" fillId="0" borderId="0" xfId="2" applyFont="1" applyAlignment="1">
      <alignment horizontal="center" vertical="top" wrapText="1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H25" sqref="H25"/>
    </sheetView>
  </sheetViews>
  <sheetFormatPr defaultRowHeight="14.25"/>
  <cols>
    <col min="1" max="1" width="8" bestFit="1" customWidth="1"/>
    <col min="2" max="2" width="34.625" customWidth="1"/>
    <col min="3" max="3" width="4.375" bestFit="1" customWidth="1"/>
    <col min="4" max="4" width="36.2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82">
        <v>1</v>
      </c>
      <c r="B2" s="83" t="s">
        <v>47</v>
      </c>
      <c r="C2" s="84">
        <v>1</v>
      </c>
      <c r="D2" s="83" t="s">
        <v>48</v>
      </c>
    </row>
    <row r="3" spans="1:4">
      <c r="A3" s="82">
        <v>2</v>
      </c>
      <c r="B3" s="87" t="s">
        <v>49</v>
      </c>
      <c r="C3" s="84">
        <v>1</v>
      </c>
      <c r="D3" s="83" t="s">
        <v>48</v>
      </c>
    </row>
    <row r="4" spans="1:4">
      <c r="A4" s="82">
        <v>3</v>
      </c>
      <c r="B4" s="85"/>
      <c r="C4" s="84"/>
      <c r="D4" s="83"/>
    </row>
    <row r="5" spans="1:4">
      <c r="A5" s="82">
        <v>4</v>
      </c>
      <c r="B5" s="83"/>
      <c r="C5" s="86"/>
      <c r="D5" s="83"/>
    </row>
    <row r="6" spans="1:4">
      <c r="A6" s="82">
        <v>5</v>
      </c>
      <c r="B6" s="83"/>
      <c r="C6" s="86"/>
      <c r="D6" s="85"/>
    </row>
    <row r="7" spans="1:4">
      <c r="A7" s="82">
        <v>6</v>
      </c>
      <c r="B7" s="83"/>
      <c r="C7" s="86"/>
      <c r="D7" s="85"/>
    </row>
    <row r="9" spans="1:4">
      <c r="A9" s="2" t="s">
        <v>4</v>
      </c>
      <c r="B9" s="3" t="s">
        <v>5</v>
      </c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opLeftCell="A16" zoomScale="115" zoomScaleNormal="115" workbookViewId="0">
      <selection activeCell="V55" sqref="V55"/>
    </sheetView>
  </sheetViews>
  <sheetFormatPr defaultColWidth="9" defaultRowHeight="10.5"/>
  <cols>
    <col min="1" max="1" width="8.125" style="4" customWidth="1"/>
    <col min="2" max="2" width="13.375" style="11" customWidth="1"/>
    <col min="3" max="3" width="10.75" style="4" customWidth="1"/>
    <col min="4" max="4" width="11.375" style="12" customWidth="1"/>
    <col min="5" max="5" width="1.75" style="4" hidden="1" customWidth="1"/>
    <col min="6" max="7" width="2.875" style="4" bestFit="1" customWidth="1"/>
    <col min="8" max="8" width="2.875" style="4" customWidth="1"/>
    <col min="9" max="10" width="2.875" style="4" bestFit="1" customWidth="1"/>
    <col min="11" max="19" width="2.875" style="4" customWidth="1"/>
    <col min="20" max="20" width="2.875" style="4" bestFit="1" customWidth="1"/>
    <col min="21" max="21" width="2.875" style="4" customWidth="1"/>
    <col min="22" max="22" width="9" style="5"/>
    <col min="23" max="23" width="24.25" style="4" bestFit="1" customWidth="1"/>
    <col min="24" max="24" width="9" style="4"/>
    <col min="25" max="25" width="15.125" style="4" bestFit="1" customWidth="1"/>
    <col min="26" max="256" width="9" style="4"/>
    <col min="257" max="257" width="8.125" style="4" customWidth="1"/>
    <col min="258" max="258" width="13.375" style="4" customWidth="1"/>
    <col min="259" max="259" width="10.75" style="4" customWidth="1"/>
    <col min="260" max="260" width="11.375" style="4" customWidth="1"/>
    <col min="261" max="261" width="0" style="4" hidden="1" customWidth="1"/>
    <col min="262" max="263" width="2.875" style="4" bestFit="1" customWidth="1"/>
    <col min="264" max="264" width="2.875" style="4" customWidth="1"/>
    <col min="265" max="266" width="2.875" style="4" bestFit="1" customWidth="1"/>
    <col min="267" max="275" width="2.875" style="4" customWidth="1"/>
    <col min="276" max="276" width="2.875" style="4" bestFit="1" customWidth="1"/>
    <col min="277" max="277" width="2.875" style="4" customWidth="1"/>
    <col min="278" max="512" width="9" style="4"/>
    <col min="513" max="513" width="8.125" style="4" customWidth="1"/>
    <col min="514" max="514" width="13.375" style="4" customWidth="1"/>
    <col min="515" max="515" width="10.75" style="4" customWidth="1"/>
    <col min="516" max="516" width="11.375" style="4" customWidth="1"/>
    <col min="517" max="517" width="0" style="4" hidden="1" customWidth="1"/>
    <col min="518" max="519" width="2.875" style="4" bestFit="1" customWidth="1"/>
    <col min="520" max="520" width="2.875" style="4" customWidth="1"/>
    <col min="521" max="522" width="2.875" style="4" bestFit="1" customWidth="1"/>
    <col min="523" max="531" width="2.875" style="4" customWidth="1"/>
    <col min="532" max="532" width="2.875" style="4" bestFit="1" customWidth="1"/>
    <col min="533" max="533" width="2.875" style="4" customWidth="1"/>
    <col min="534" max="768" width="9" style="4"/>
    <col min="769" max="769" width="8.125" style="4" customWidth="1"/>
    <col min="770" max="770" width="13.375" style="4" customWidth="1"/>
    <col min="771" max="771" width="10.75" style="4" customWidth="1"/>
    <col min="772" max="772" width="11.375" style="4" customWidth="1"/>
    <col min="773" max="773" width="0" style="4" hidden="1" customWidth="1"/>
    <col min="774" max="775" width="2.875" style="4" bestFit="1" customWidth="1"/>
    <col min="776" max="776" width="2.875" style="4" customWidth="1"/>
    <col min="777" max="778" width="2.875" style="4" bestFit="1" customWidth="1"/>
    <col min="779" max="787" width="2.875" style="4" customWidth="1"/>
    <col min="788" max="788" width="2.875" style="4" bestFit="1" customWidth="1"/>
    <col min="789" max="789" width="2.875" style="4" customWidth="1"/>
    <col min="790" max="1024" width="9" style="4"/>
    <col min="1025" max="1025" width="8.125" style="4" customWidth="1"/>
    <col min="1026" max="1026" width="13.375" style="4" customWidth="1"/>
    <col min="1027" max="1027" width="10.75" style="4" customWidth="1"/>
    <col min="1028" max="1028" width="11.375" style="4" customWidth="1"/>
    <col min="1029" max="1029" width="0" style="4" hidden="1" customWidth="1"/>
    <col min="1030" max="1031" width="2.875" style="4" bestFit="1" customWidth="1"/>
    <col min="1032" max="1032" width="2.875" style="4" customWidth="1"/>
    <col min="1033" max="1034" width="2.875" style="4" bestFit="1" customWidth="1"/>
    <col min="1035" max="1043" width="2.875" style="4" customWidth="1"/>
    <col min="1044" max="1044" width="2.875" style="4" bestFit="1" customWidth="1"/>
    <col min="1045" max="1045" width="2.875" style="4" customWidth="1"/>
    <col min="1046" max="1280" width="9" style="4"/>
    <col min="1281" max="1281" width="8.125" style="4" customWidth="1"/>
    <col min="1282" max="1282" width="13.375" style="4" customWidth="1"/>
    <col min="1283" max="1283" width="10.75" style="4" customWidth="1"/>
    <col min="1284" max="1284" width="11.375" style="4" customWidth="1"/>
    <col min="1285" max="1285" width="0" style="4" hidden="1" customWidth="1"/>
    <col min="1286" max="1287" width="2.875" style="4" bestFit="1" customWidth="1"/>
    <col min="1288" max="1288" width="2.875" style="4" customWidth="1"/>
    <col min="1289" max="1290" width="2.875" style="4" bestFit="1" customWidth="1"/>
    <col min="1291" max="1299" width="2.875" style="4" customWidth="1"/>
    <col min="1300" max="1300" width="2.875" style="4" bestFit="1" customWidth="1"/>
    <col min="1301" max="1301" width="2.875" style="4" customWidth="1"/>
    <col min="1302" max="1536" width="9" style="4"/>
    <col min="1537" max="1537" width="8.125" style="4" customWidth="1"/>
    <col min="1538" max="1538" width="13.375" style="4" customWidth="1"/>
    <col min="1539" max="1539" width="10.75" style="4" customWidth="1"/>
    <col min="1540" max="1540" width="11.375" style="4" customWidth="1"/>
    <col min="1541" max="1541" width="0" style="4" hidden="1" customWidth="1"/>
    <col min="1542" max="1543" width="2.875" style="4" bestFit="1" customWidth="1"/>
    <col min="1544" max="1544" width="2.875" style="4" customWidth="1"/>
    <col min="1545" max="1546" width="2.875" style="4" bestFit="1" customWidth="1"/>
    <col min="1547" max="1555" width="2.875" style="4" customWidth="1"/>
    <col min="1556" max="1556" width="2.875" style="4" bestFit="1" customWidth="1"/>
    <col min="1557" max="1557" width="2.875" style="4" customWidth="1"/>
    <col min="1558" max="1792" width="9" style="4"/>
    <col min="1793" max="1793" width="8.125" style="4" customWidth="1"/>
    <col min="1794" max="1794" width="13.375" style="4" customWidth="1"/>
    <col min="1795" max="1795" width="10.75" style="4" customWidth="1"/>
    <col min="1796" max="1796" width="11.375" style="4" customWidth="1"/>
    <col min="1797" max="1797" width="0" style="4" hidden="1" customWidth="1"/>
    <col min="1798" max="1799" width="2.875" style="4" bestFit="1" customWidth="1"/>
    <col min="1800" max="1800" width="2.875" style="4" customWidth="1"/>
    <col min="1801" max="1802" width="2.875" style="4" bestFit="1" customWidth="1"/>
    <col min="1803" max="1811" width="2.875" style="4" customWidth="1"/>
    <col min="1812" max="1812" width="2.875" style="4" bestFit="1" customWidth="1"/>
    <col min="1813" max="1813" width="2.875" style="4" customWidth="1"/>
    <col min="1814" max="2048" width="9" style="4"/>
    <col min="2049" max="2049" width="8.125" style="4" customWidth="1"/>
    <col min="2050" max="2050" width="13.375" style="4" customWidth="1"/>
    <col min="2051" max="2051" width="10.75" style="4" customWidth="1"/>
    <col min="2052" max="2052" width="11.375" style="4" customWidth="1"/>
    <col min="2053" max="2053" width="0" style="4" hidden="1" customWidth="1"/>
    <col min="2054" max="2055" width="2.875" style="4" bestFit="1" customWidth="1"/>
    <col min="2056" max="2056" width="2.875" style="4" customWidth="1"/>
    <col min="2057" max="2058" width="2.875" style="4" bestFit="1" customWidth="1"/>
    <col min="2059" max="2067" width="2.875" style="4" customWidth="1"/>
    <col min="2068" max="2068" width="2.875" style="4" bestFit="1" customWidth="1"/>
    <col min="2069" max="2069" width="2.875" style="4" customWidth="1"/>
    <col min="2070" max="2304" width="9" style="4"/>
    <col min="2305" max="2305" width="8.125" style="4" customWidth="1"/>
    <col min="2306" max="2306" width="13.375" style="4" customWidth="1"/>
    <col min="2307" max="2307" width="10.75" style="4" customWidth="1"/>
    <col min="2308" max="2308" width="11.375" style="4" customWidth="1"/>
    <col min="2309" max="2309" width="0" style="4" hidden="1" customWidth="1"/>
    <col min="2310" max="2311" width="2.875" style="4" bestFit="1" customWidth="1"/>
    <col min="2312" max="2312" width="2.875" style="4" customWidth="1"/>
    <col min="2313" max="2314" width="2.875" style="4" bestFit="1" customWidth="1"/>
    <col min="2315" max="2323" width="2.875" style="4" customWidth="1"/>
    <col min="2324" max="2324" width="2.875" style="4" bestFit="1" customWidth="1"/>
    <col min="2325" max="2325" width="2.875" style="4" customWidth="1"/>
    <col min="2326" max="2560" width="9" style="4"/>
    <col min="2561" max="2561" width="8.125" style="4" customWidth="1"/>
    <col min="2562" max="2562" width="13.375" style="4" customWidth="1"/>
    <col min="2563" max="2563" width="10.75" style="4" customWidth="1"/>
    <col min="2564" max="2564" width="11.375" style="4" customWidth="1"/>
    <col min="2565" max="2565" width="0" style="4" hidden="1" customWidth="1"/>
    <col min="2566" max="2567" width="2.875" style="4" bestFit="1" customWidth="1"/>
    <col min="2568" max="2568" width="2.875" style="4" customWidth="1"/>
    <col min="2569" max="2570" width="2.875" style="4" bestFit="1" customWidth="1"/>
    <col min="2571" max="2579" width="2.875" style="4" customWidth="1"/>
    <col min="2580" max="2580" width="2.875" style="4" bestFit="1" customWidth="1"/>
    <col min="2581" max="2581" width="2.875" style="4" customWidth="1"/>
    <col min="2582" max="2816" width="9" style="4"/>
    <col min="2817" max="2817" width="8.125" style="4" customWidth="1"/>
    <col min="2818" max="2818" width="13.375" style="4" customWidth="1"/>
    <col min="2819" max="2819" width="10.75" style="4" customWidth="1"/>
    <col min="2820" max="2820" width="11.375" style="4" customWidth="1"/>
    <col min="2821" max="2821" width="0" style="4" hidden="1" customWidth="1"/>
    <col min="2822" max="2823" width="2.875" style="4" bestFit="1" customWidth="1"/>
    <col min="2824" max="2824" width="2.875" style="4" customWidth="1"/>
    <col min="2825" max="2826" width="2.875" style="4" bestFit="1" customWidth="1"/>
    <col min="2827" max="2835" width="2.875" style="4" customWidth="1"/>
    <col min="2836" max="2836" width="2.875" style="4" bestFit="1" customWidth="1"/>
    <col min="2837" max="2837" width="2.875" style="4" customWidth="1"/>
    <col min="2838" max="3072" width="9" style="4"/>
    <col min="3073" max="3073" width="8.125" style="4" customWidth="1"/>
    <col min="3074" max="3074" width="13.375" style="4" customWidth="1"/>
    <col min="3075" max="3075" width="10.75" style="4" customWidth="1"/>
    <col min="3076" max="3076" width="11.375" style="4" customWidth="1"/>
    <col min="3077" max="3077" width="0" style="4" hidden="1" customWidth="1"/>
    <col min="3078" max="3079" width="2.875" style="4" bestFit="1" customWidth="1"/>
    <col min="3080" max="3080" width="2.875" style="4" customWidth="1"/>
    <col min="3081" max="3082" width="2.875" style="4" bestFit="1" customWidth="1"/>
    <col min="3083" max="3091" width="2.875" style="4" customWidth="1"/>
    <col min="3092" max="3092" width="2.875" style="4" bestFit="1" customWidth="1"/>
    <col min="3093" max="3093" width="2.875" style="4" customWidth="1"/>
    <col min="3094" max="3328" width="9" style="4"/>
    <col min="3329" max="3329" width="8.125" style="4" customWidth="1"/>
    <col min="3330" max="3330" width="13.375" style="4" customWidth="1"/>
    <col min="3331" max="3331" width="10.75" style="4" customWidth="1"/>
    <col min="3332" max="3332" width="11.375" style="4" customWidth="1"/>
    <col min="3333" max="3333" width="0" style="4" hidden="1" customWidth="1"/>
    <col min="3334" max="3335" width="2.875" style="4" bestFit="1" customWidth="1"/>
    <col min="3336" max="3336" width="2.875" style="4" customWidth="1"/>
    <col min="3337" max="3338" width="2.875" style="4" bestFit="1" customWidth="1"/>
    <col min="3339" max="3347" width="2.875" style="4" customWidth="1"/>
    <col min="3348" max="3348" width="2.875" style="4" bestFit="1" customWidth="1"/>
    <col min="3349" max="3349" width="2.875" style="4" customWidth="1"/>
    <col min="3350" max="3584" width="9" style="4"/>
    <col min="3585" max="3585" width="8.125" style="4" customWidth="1"/>
    <col min="3586" max="3586" width="13.375" style="4" customWidth="1"/>
    <col min="3587" max="3587" width="10.75" style="4" customWidth="1"/>
    <col min="3588" max="3588" width="11.375" style="4" customWidth="1"/>
    <col min="3589" max="3589" width="0" style="4" hidden="1" customWidth="1"/>
    <col min="3590" max="3591" width="2.875" style="4" bestFit="1" customWidth="1"/>
    <col min="3592" max="3592" width="2.875" style="4" customWidth="1"/>
    <col min="3593" max="3594" width="2.875" style="4" bestFit="1" customWidth="1"/>
    <col min="3595" max="3603" width="2.875" style="4" customWidth="1"/>
    <col min="3604" max="3604" width="2.875" style="4" bestFit="1" customWidth="1"/>
    <col min="3605" max="3605" width="2.875" style="4" customWidth="1"/>
    <col min="3606" max="3840" width="9" style="4"/>
    <col min="3841" max="3841" width="8.125" style="4" customWidth="1"/>
    <col min="3842" max="3842" width="13.375" style="4" customWidth="1"/>
    <col min="3843" max="3843" width="10.75" style="4" customWidth="1"/>
    <col min="3844" max="3844" width="11.375" style="4" customWidth="1"/>
    <col min="3845" max="3845" width="0" style="4" hidden="1" customWidth="1"/>
    <col min="3846" max="3847" width="2.875" style="4" bestFit="1" customWidth="1"/>
    <col min="3848" max="3848" width="2.875" style="4" customWidth="1"/>
    <col min="3849" max="3850" width="2.875" style="4" bestFit="1" customWidth="1"/>
    <col min="3851" max="3859" width="2.875" style="4" customWidth="1"/>
    <col min="3860" max="3860" width="2.875" style="4" bestFit="1" customWidth="1"/>
    <col min="3861" max="3861" width="2.875" style="4" customWidth="1"/>
    <col min="3862" max="4096" width="9" style="4"/>
    <col min="4097" max="4097" width="8.125" style="4" customWidth="1"/>
    <col min="4098" max="4098" width="13.375" style="4" customWidth="1"/>
    <col min="4099" max="4099" width="10.75" style="4" customWidth="1"/>
    <col min="4100" max="4100" width="11.375" style="4" customWidth="1"/>
    <col min="4101" max="4101" width="0" style="4" hidden="1" customWidth="1"/>
    <col min="4102" max="4103" width="2.875" style="4" bestFit="1" customWidth="1"/>
    <col min="4104" max="4104" width="2.875" style="4" customWidth="1"/>
    <col min="4105" max="4106" width="2.875" style="4" bestFit="1" customWidth="1"/>
    <col min="4107" max="4115" width="2.875" style="4" customWidth="1"/>
    <col min="4116" max="4116" width="2.875" style="4" bestFit="1" customWidth="1"/>
    <col min="4117" max="4117" width="2.875" style="4" customWidth="1"/>
    <col min="4118" max="4352" width="9" style="4"/>
    <col min="4353" max="4353" width="8.125" style="4" customWidth="1"/>
    <col min="4354" max="4354" width="13.375" style="4" customWidth="1"/>
    <col min="4355" max="4355" width="10.75" style="4" customWidth="1"/>
    <col min="4356" max="4356" width="11.375" style="4" customWidth="1"/>
    <col min="4357" max="4357" width="0" style="4" hidden="1" customWidth="1"/>
    <col min="4358" max="4359" width="2.875" style="4" bestFit="1" customWidth="1"/>
    <col min="4360" max="4360" width="2.875" style="4" customWidth="1"/>
    <col min="4361" max="4362" width="2.875" style="4" bestFit="1" customWidth="1"/>
    <col min="4363" max="4371" width="2.875" style="4" customWidth="1"/>
    <col min="4372" max="4372" width="2.875" style="4" bestFit="1" customWidth="1"/>
    <col min="4373" max="4373" width="2.875" style="4" customWidth="1"/>
    <col min="4374" max="4608" width="9" style="4"/>
    <col min="4609" max="4609" width="8.125" style="4" customWidth="1"/>
    <col min="4610" max="4610" width="13.375" style="4" customWidth="1"/>
    <col min="4611" max="4611" width="10.75" style="4" customWidth="1"/>
    <col min="4612" max="4612" width="11.375" style="4" customWidth="1"/>
    <col min="4613" max="4613" width="0" style="4" hidden="1" customWidth="1"/>
    <col min="4614" max="4615" width="2.875" style="4" bestFit="1" customWidth="1"/>
    <col min="4616" max="4616" width="2.875" style="4" customWidth="1"/>
    <col min="4617" max="4618" width="2.875" style="4" bestFit="1" customWidth="1"/>
    <col min="4619" max="4627" width="2.875" style="4" customWidth="1"/>
    <col min="4628" max="4628" width="2.875" style="4" bestFit="1" customWidth="1"/>
    <col min="4629" max="4629" width="2.875" style="4" customWidth="1"/>
    <col min="4630" max="4864" width="9" style="4"/>
    <col min="4865" max="4865" width="8.125" style="4" customWidth="1"/>
    <col min="4866" max="4866" width="13.375" style="4" customWidth="1"/>
    <col min="4867" max="4867" width="10.75" style="4" customWidth="1"/>
    <col min="4868" max="4868" width="11.375" style="4" customWidth="1"/>
    <col min="4869" max="4869" width="0" style="4" hidden="1" customWidth="1"/>
    <col min="4870" max="4871" width="2.875" style="4" bestFit="1" customWidth="1"/>
    <col min="4872" max="4872" width="2.875" style="4" customWidth="1"/>
    <col min="4873" max="4874" width="2.875" style="4" bestFit="1" customWidth="1"/>
    <col min="4875" max="4883" width="2.875" style="4" customWidth="1"/>
    <col min="4884" max="4884" width="2.875" style="4" bestFit="1" customWidth="1"/>
    <col min="4885" max="4885" width="2.875" style="4" customWidth="1"/>
    <col min="4886" max="5120" width="9" style="4"/>
    <col min="5121" max="5121" width="8.125" style="4" customWidth="1"/>
    <col min="5122" max="5122" width="13.375" style="4" customWidth="1"/>
    <col min="5123" max="5123" width="10.75" style="4" customWidth="1"/>
    <col min="5124" max="5124" width="11.375" style="4" customWidth="1"/>
    <col min="5125" max="5125" width="0" style="4" hidden="1" customWidth="1"/>
    <col min="5126" max="5127" width="2.875" style="4" bestFit="1" customWidth="1"/>
    <col min="5128" max="5128" width="2.875" style="4" customWidth="1"/>
    <col min="5129" max="5130" width="2.875" style="4" bestFit="1" customWidth="1"/>
    <col min="5131" max="5139" width="2.875" style="4" customWidth="1"/>
    <col min="5140" max="5140" width="2.875" style="4" bestFit="1" customWidth="1"/>
    <col min="5141" max="5141" width="2.875" style="4" customWidth="1"/>
    <col min="5142" max="5376" width="9" style="4"/>
    <col min="5377" max="5377" width="8.125" style="4" customWidth="1"/>
    <col min="5378" max="5378" width="13.375" style="4" customWidth="1"/>
    <col min="5379" max="5379" width="10.75" style="4" customWidth="1"/>
    <col min="5380" max="5380" width="11.375" style="4" customWidth="1"/>
    <col min="5381" max="5381" width="0" style="4" hidden="1" customWidth="1"/>
    <col min="5382" max="5383" width="2.875" style="4" bestFit="1" customWidth="1"/>
    <col min="5384" max="5384" width="2.875" style="4" customWidth="1"/>
    <col min="5385" max="5386" width="2.875" style="4" bestFit="1" customWidth="1"/>
    <col min="5387" max="5395" width="2.875" style="4" customWidth="1"/>
    <col min="5396" max="5396" width="2.875" style="4" bestFit="1" customWidth="1"/>
    <col min="5397" max="5397" width="2.875" style="4" customWidth="1"/>
    <col min="5398" max="5632" width="9" style="4"/>
    <col min="5633" max="5633" width="8.125" style="4" customWidth="1"/>
    <col min="5634" max="5634" width="13.375" style="4" customWidth="1"/>
    <col min="5635" max="5635" width="10.75" style="4" customWidth="1"/>
    <col min="5636" max="5636" width="11.375" style="4" customWidth="1"/>
    <col min="5637" max="5637" width="0" style="4" hidden="1" customWidth="1"/>
    <col min="5638" max="5639" width="2.875" style="4" bestFit="1" customWidth="1"/>
    <col min="5640" max="5640" width="2.875" style="4" customWidth="1"/>
    <col min="5641" max="5642" width="2.875" style="4" bestFit="1" customWidth="1"/>
    <col min="5643" max="5651" width="2.875" style="4" customWidth="1"/>
    <col min="5652" max="5652" width="2.875" style="4" bestFit="1" customWidth="1"/>
    <col min="5653" max="5653" width="2.875" style="4" customWidth="1"/>
    <col min="5654" max="5888" width="9" style="4"/>
    <col min="5889" max="5889" width="8.125" style="4" customWidth="1"/>
    <col min="5890" max="5890" width="13.375" style="4" customWidth="1"/>
    <col min="5891" max="5891" width="10.75" style="4" customWidth="1"/>
    <col min="5892" max="5892" width="11.375" style="4" customWidth="1"/>
    <col min="5893" max="5893" width="0" style="4" hidden="1" customWidth="1"/>
    <col min="5894" max="5895" width="2.875" style="4" bestFit="1" customWidth="1"/>
    <col min="5896" max="5896" width="2.875" style="4" customWidth="1"/>
    <col min="5897" max="5898" width="2.875" style="4" bestFit="1" customWidth="1"/>
    <col min="5899" max="5907" width="2.875" style="4" customWidth="1"/>
    <col min="5908" max="5908" width="2.875" style="4" bestFit="1" customWidth="1"/>
    <col min="5909" max="5909" width="2.875" style="4" customWidth="1"/>
    <col min="5910" max="6144" width="9" style="4"/>
    <col min="6145" max="6145" width="8.125" style="4" customWidth="1"/>
    <col min="6146" max="6146" width="13.375" style="4" customWidth="1"/>
    <col min="6147" max="6147" width="10.75" style="4" customWidth="1"/>
    <col min="6148" max="6148" width="11.375" style="4" customWidth="1"/>
    <col min="6149" max="6149" width="0" style="4" hidden="1" customWidth="1"/>
    <col min="6150" max="6151" width="2.875" style="4" bestFit="1" customWidth="1"/>
    <col min="6152" max="6152" width="2.875" style="4" customWidth="1"/>
    <col min="6153" max="6154" width="2.875" style="4" bestFit="1" customWidth="1"/>
    <col min="6155" max="6163" width="2.875" style="4" customWidth="1"/>
    <col min="6164" max="6164" width="2.875" style="4" bestFit="1" customWidth="1"/>
    <col min="6165" max="6165" width="2.875" style="4" customWidth="1"/>
    <col min="6166" max="6400" width="9" style="4"/>
    <col min="6401" max="6401" width="8.125" style="4" customWidth="1"/>
    <col min="6402" max="6402" width="13.375" style="4" customWidth="1"/>
    <col min="6403" max="6403" width="10.75" style="4" customWidth="1"/>
    <col min="6404" max="6404" width="11.375" style="4" customWidth="1"/>
    <col min="6405" max="6405" width="0" style="4" hidden="1" customWidth="1"/>
    <col min="6406" max="6407" width="2.875" style="4" bestFit="1" customWidth="1"/>
    <col min="6408" max="6408" width="2.875" style="4" customWidth="1"/>
    <col min="6409" max="6410" width="2.875" style="4" bestFit="1" customWidth="1"/>
    <col min="6411" max="6419" width="2.875" style="4" customWidth="1"/>
    <col min="6420" max="6420" width="2.875" style="4" bestFit="1" customWidth="1"/>
    <col min="6421" max="6421" width="2.875" style="4" customWidth="1"/>
    <col min="6422" max="6656" width="9" style="4"/>
    <col min="6657" max="6657" width="8.125" style="4" customWidth="1"/>
    <col min="6658" max="6658" width="13.375" style="4" customWidth="1"/>
    <col min="6659" max="6659" width="10.75" style="4" customWidth="1"/>
    <col min="6660" max="6660" width="11.375" style="4" customWidth="1"/>
    <col min="6661" max="6661" width="0" style="4" hidden="1" customWidth="1"/>
    <col min="6662" max="6663" width="2.875" style="4" bestFit="1" customWidth="1"/>
    <col min="6664" max="6664" width="2.875" style="4" customWidth="1"/>
    <col min="6665" max="6666" width="2.875" style="4" bestFit="1" customWidth="1"/>
    <col min="6667" max="6675" width="2.875" style="4" customWidth="1"/>
    <col min="6676" max="6676" width="2.875" style="4" bestFit="1" customWidth="1"/>
    <col min="6677" max="6677" width="2.875" style="4" customWidth="1"/>
    <col min="6678" max="6912" width="9" style="4"/>
    <col min="6913" max="6913" width="8.125" style="4" customWidth="1"/>
    <col min="6914" max="6914" width="13.375" style="4" customWidth="1"/>
    <col min="6915" max="6915" width="10.75" style="4" customWidth="1"/>
    <col min="6916" max="6916" width="11.375" style="4" customWidth="1"/>
    <col min="6917" max="6917" width="0" style="4" hidden="1" customWidth="1"/>
    <col min="6918" max="6919" width="2.875" style="4" bestFit="1" customWidth="1"/>
    <col min="6920" max="6920" width="2.875" style="4" customWidth="1"/>
    <col min="6921" max="6922" width="2.875" style="4" bestFit="1" customWidth="1"/>
    <col min="6923" max="6931" width="2.875" style="4" customWidth="1"/>
    <col min="6932" max="6932" width="2.875" style="4" bestFit="1" customWidth="1"/>
    <col min="6933" max="6933" width="2.875" style="4" customWidth="1"/>
    <col min="6934" max="7168" width="9" style="4"/>
    <col min="7169" max="7169" width="8.125" style="4" customWidth="1"/>
    <col min="7170" max="7170" width="13.375" style="4" customWidth="1"/>
    <col min="7171" max="7171" width="10.75" style="4" customWidth="1"/>
    <col min="7172" max="7172" width="11.375" style="4" customWidth="1"/>
    <col min="7173" max="7173" width="0" style="4" hidden="1" customWidth="1"/>
    <col min="7174" max="7175" width="2.875" style="4" bestFit="1" customWidth="1"/>
    <col min="7176" max="7176" width="2.875" style="4" customWidth="1"/>
    <col min="7177" max="7178" width="2.875" style="4" bestFit="1" customWidth="1"/>
    <col min="7179" max="7187" width="2.875" style="4" customWidth="1"/>
    <col min="7188" max="7188" width="2.875" style="4" bestFit="1" customWidth="1"/>
    <col min="7189" max="7189" width="2.875" style="4" customWidth="1"/>
    <col min="7190" max="7424" width="9" style="4"/>
    <col min="7425" max="7425" width="8.125" style="4" customWidth="1"/>
    <col min="7426" max="7426" width="13.375" style="4" customWidth="1"/>
    <col min="7427" max="7427" width="10.75" style="4" customWidth="1"/>
    <col min="7428" max="7428" width="11.375" style="4" customWidth="1"/>
    <col min="7429" max="7429" width="0" style="4" hidden="1" customWidth="1"/>
    <col min="7430" max="7431" width="2.875" style="4" bestFit="1" customWidth="1"/>
    <col min="7432" max="7432" width="2.875" style="4" customWidth="1"/>
    <col min="7433" max="7434" width="2.875" style="4" bestFit="1" customWidth="1"/>
    <col min="7435" max="7443" width="2.875" style="4" customWidth="1"/>
    <col min="7444" max="7444" width="2.875" style="4" bestFit="1" customWidth="1"/>
    <col min="7445" max="7445" width="2.875" style="4" customWidth="1"/>
    <col min="7446" max="7680" width="9" style="4"/>
    <col min="7681" max="7681" width="8.125" style="4" customWidth="1"/>
    <col min="7682" max="7682" width="13.375" style="4" customWidth="1"/>
    <col min="7683" max="7683" width="10.75" style="4" customWidth="1"/>
    <col min="7684" max="7684" width="11.375" style="4" customWidth="1"/>
    <col min="7685" max="7685" width="0" style="4" hidden="1" customWidth="1"/>
    <col min="7686" max="7687" width="2.875" style="4" bestFit="1" customWidth="1"/>
    <col min="7688" max="7688" width="2.875" style="4" customWidth="1"/>
    <col min="7689" max="7690" width="2.875" style="4" bestFit="1" customWidth="1"/>
    <col min="7691" max="7699" width="2.875" style="4" customWidth="1"/>
    <col min="7700" max="7700" width="2.875" style="4" bestFit="1" customWidth="1"/>
    <col min="7701" max="7701" width="2.875" style="4" customWidth="1"/>
    <col min="7702" max="7936" width="9" style="4"/>
    <col min="7937" max="7937" width="8.125" style="4" customWidth="1"/>
    <col min="7938" max="7938" width="13.375" style="4" customWidth="1"/>
    <col min="7939" max="7939" width="10.75" style="4" customWidth="1"/>
    <col min="7940" max="7940" width="11.375" style="4" customWidth="1"/>
    <col min="7941" max="7941" width="0" style="4" hidden="1" customWidth="1"/>
    <col min="7942" max="7943" width="2.875" style="4" bestFit="1" customWidth="1"/>
    <col min="7944" max="7944" width="2.875" style="4" customWidth="1"/>
    <col min="7945" max="7946" width="2.875" style="4" bestFit="1" customWidth="1"/>
    <col min="7947" max="7955" width="2.875" style="4" customWidth="1"/>
    <col min="7956" max="7956" width="2.875" style="4" bestFit="1" customWidth="1"/>
    <col min="7957" max="7957" width="2.875" style="4" customWidth="1"/>
    <col min="7958" max="8192" width="9" style="4"/>
    <col min="8193" max="8193" width="8.125" style="4" customWidth="1"/>
    <col min="8194" max="8194" width="13.375" style="4" customWidth="1"/>
    <col min="8195" max="8195" width="10.75" style="4" customWidth="1"/>
    <col min="8196" max="8196" width="11.375" style="4" customWidth="1"/>
    <col min="8197" max="8197" width="0" style="4" hidden="1" customWidth="1"/>
    <col min="8198" max="8199" width="2.875" style="4" bestFit="1" customWidth="1"/>
    <col min="8200" max="8200" width="2.875" style="4" customWidth="1"/>
    <col min="8201" max="8202" width="2.875" style="4" bestFit="1" customWidth="1"/>
    <col min="8203" max="8211" width="2.875" style="4" customWidth="1"/>
    <col min="8212" max="8212" width="2.875" style="4" bestFit="1" customWidth="1"/>
    <col min="8213" max="8213" width="2.875" style="4" customWidth="1"/>
    <col min="8214" max="8448" width="9" style="4"/>
    <col min="8449" max="8449" width="8.125" style="4" customWidth="1"/>
    <col min="8450" max="8450" width="13.375" style="4" customWidth="1"/>
    <col min="8451" max="8451" width="10.75" style="4" customWidth="1"/>
    <col min="8452" max="8452" width="11.375" style="4" customWidth="1"/>
    <col min="8453" max="8453" width="0" style="4" hidden="1" customWidth="1"/>
    <col min="8454" max="8455" width="2.875" style="4" bestFit="1" customWidth="1"/>
    <col min="8456" max="8456" width="2.875" style="4" customWidth="1"/>
    <col min="8457" max="8458" width="2.875" style="4" bestFit="1" customWidth="1"/>
    <col min="8459" max="8467" width="2.875" style="4" customWidth="1"/>
    <col min="8468" max="8468" width="2.875" style="4" bestFit="1" customWidth="1"/>
    <col min="8469" max="8469" width="2.875" style="4" customWidth="1"/>
    <col min="8470" max="8704" width="9" style="4"/>
    <col min="8705" max="8705" width="8.125" style="4" customWidth="1"/>
    <col min="8706" max="8706" width="13.375" style="4" customWidth="1"/>
    <col min="8707" max="8707" width="10.75" style="4" customWidth="1"/>
    <col min="8708" max="8708" width="11.375" style="4" customWidth="1"/>
    <col min="8709" max="8709" width="0" style="4" hidden="1" customWidth="1"/>
    <col min="8710" max="8711" width="2.875" style="4" bestFit="1" customWidth="1"/>
    <col min="8712" max="8712" width="2.875" style="4" customWidth="1"/>
    <col min="8713" max="8714" width="2.875" style="4" bestFit="1" customWidth="1"/>
    <col min="8715" max="8723" width="2.875" style="4" customWidth="1"/>
    <col min="8724" max="8724" width="2.875" style="4" bestFit="1" customWidth="1"/>
    <col min="8725" max="8725" width="2.875" style="4" customWidth="1"/>
    <col min="8726" max="8960" width="9" style="4"/>
    <col min="8961" max="8961" width="8.125" style="4" customWidth="1"/>
    <col min="8962" max="8962" width="13.375" style="4" customWidth="1"/>
    <col min="8963" max="8963" width="10.75" style="4" customWidth="1"/>
    <col min="8964" max="8964" width="11.375" style="4" customWidth="1"/>
    <col min="8965" max="8965" width="0" style="4" hidden="1" customWidth="1"/>
    <col min="8966" max="8967" width="2.875" style="4" bestFit="1" customWidth="1"/>
    <col min="8968" max="8968" width="2.875" style="4" customWidth="1"/>
    <col min="8969" max="8970" width="2.875" style="4" bestFit="1" customWidth="1"/>
    <col min="8971" max="8979" width="2.875" style="4" customWidth="1"/>
    <col min="8980" max="8980" width="2.875" style="4" bestFit="1" customWidth="1"/>
    <col min="8981" max="8981" width="2.875" style="4" customWidth="1"/>
    <col min="8982" max="9216" width="9" style="4"/>
    <col min="9217" max="9217" width="8.125" style="4" customWidth="1"/>
    <col min="9218" max="9218" width="13.375" style="4" customWidth="1"/>
    <col min="9219" max="9219" width="10.75" style="4" customWidth="1"/>
    <col min="9220" max="9220" width="11.375" style="4" customWidth="1"/>
    <col min="9221" max="9221" width="0" style="4" hidden="1" customWidth="1"/>
    <col min="9222" max="9223" width="2.875" style="4" bestFit="1" customWidth="1"/>
    <col min="9224" max="9224" width="2.875" style="4" customWidth="1"/>
    <col min="9225" max="9226" width="2.875" style="4" bestFit="1" customWidth="1"/>
    <col min="9227" max="9235" width="2.875" style="4" customWidth="1"/>
    <col min="9236" max="9236" width="2.875" style="4" bestFit="1" customWidth="1"/>
    <col min="9237" max="9237" width="2.875" style="4" customWidth="1"/>
    <col min="9238" max="9472" width="9" style="4"/>
    <col min="9473" max="9473" width="8.125" style="4" customWidth="1"/>
    <col min="9474" max="9474" width="13.375" style="4" customWidth="1"/>
    <col min="9475" max="9475" width="10.75" style="4" customWidth="1"/>
    <col min="9476" max="9476" width="11.375" style="4" customWidth="1"/>
    <col min="9477" max="9477" width="0" style="4" hidden="1" customWidth="1"/>
    <col min="9478" max="9479" width="2.875" style="4" bestFit="1" customWidth="1"/>
    <col min="9480" max="9480" width="2.875" style="4" customWidth="1"/>
    <col min="9481" max="9482" width="2.875" style="4" bestFit="1" customWidth="1"/>
    <col min="9483" max="9491" width="2.875" style="4" customWidth="1"/>
    <col min="9492" max="9492" width="2.875" style="4" bestFit="1" customWidth="1"/>
    <col min="9493" max="9493" width="2.875" style="4" customWidth="1"/>
    <col min="9494" max="9728" width="9" style="4"/>
    <col min="9729" max="9729" width="8.125" style="4" customWidth="1"/>
    <col min="9730" max="9730" width="13.375" style="4" customWidth="1"/>
    <col min="9731" max="9731" width="10.75" style="4" customWidth="1"/>
    <col min="9732" max="9732" width="11.375" style="4" customWidth="1"/>
    <col min="9733" max="9733" width="0" style="4" hidden="1" customWidth="1"/>
    <col min="9734" max="9735" width="2.875" style="4" bestFit="1" customWidth="1"/>
    <col min="9736" max="9736" width="2.875" style="4" customWidth="1"/>
    <col min="9737" max="9738" width="2.875" style="4" bestFit="1" customWidth="1"/>
    <col min="9739" max="9747" width="2.875" style="4" customWidth="1"/>
    <col min="9748" max="9748" width="2.875" style="4" bestFit="1" customWidth="1"/>
    <col min="9749" max="9749" width="2.875" style="4" customWidth="1"/>
    <col min="9750" max="9984" width="9" style="4"/>
    <col min="9985" max="9985" width="8.125" style="4" customWidth="1"/>
    <col min="9986" max="9986" width="13.375" style="4" customWidth="1"/>
    <col min="9987" max="9987" width="10.75" style="4" customWidth="1"/>
    <col min="9988" max="9988" width="11.375" style="4" customWidth="1"/>
    <col min="9989" max="9989" width="0" style="4" hidden="1" customWidth="1"/>
    <col min="9990" max="9991" width="2.875" style="4" bestFit="1" customWidth="1"/>
    <col min="9992" max="9992" width="2.875" style="4" customWidth="1"/>
    <col min="9993" max="9994" width="2.875" style="4" bestFit="1" customWidth="1"/>
    <col min="9995" max="10003" width="2.875" style="4" customWidth="1"/>
    <col min="10004" max="10004" width="2.875" style="4" bestFit="1" customWidth="1"/>
    <col min="10005" max="10005" width="2.875" style="4" customWidth="1"/>
    <col min="10006" max="10240" width="9" style="4"/>
    <col min="10241" max="10241" width="8.125" style="4" customWidth="1"/>
    <col min="10242" max="10242" width="13.375" style="4" customWidth="1"/>
    <col min="10243" max="10243" width="10.75" style="4" customWidth="1"/>
    <col min="10244" max="10244" width="11.375" style="4" customWidth="1"/>
    <col min="10245" max="10245" width="0" style="4" hidden="1" customWidth="1"/>
    <col min="10246" max="10247" width="2.875" style="4" bestFit="1" customWidth="1"/>
    <col min="10248" max="10248" width="2.875" style="4" customWidth="1"/>
    <col min="10249" max="10250" width="2.875" style="4" bestFit="1" customWidth="1"/>
    <col min="10251" max="10259" width="2.875" style="4" customWidth="1"/>
    <col min="10260" max="10260" width="2.875" style="4" bestFit="1" customWidth="1"/>
    <col min="10261" max="10261" width="2.875" style="4" customWidth="1"/>
    <col min="10262" max="10496" width="9" style="4"/>
    <col min="10497" max="10497" width="8.125" style="4" customWidth="1"/>
    <col min="10498" max="10498" width="13.375" style="4" customWidth="1"/>
    <col min="10499" max="10499" width="10.75" style="4" customWidth="1"/>
    <col min="10500" max="10500" width="11.375" style="4" customWidth="1"/>
    <col min="10501" max="10501" width="0" style="4" hidden="1" customWidth="1"/>
    <col min="10502" max="10503" width="2.875" style="4" bestFit="1" customWidth="1"/>
    <col min="10504" max="10504" width="2.875" style="4" customWidth="1"/>
    <col min="10505" max="10506" width="2.875" style="4" bestFit="1" customWidth="1"/>
    <col min="10507" max="10515" width="2.875" style="4" customWidth="1"/>
    <col min="10516" max="10516" width="2.875" style="4" bestFit="1" customWidth="1"/>
    <col min="10517" max="10517" width="2.875" style="4" customWidth="1"/>
    <col min="10518" max="10752" width="9" style="4"/>
    <col min="10753" max="10753" width="8.125" style="4" customWidth="1"/>
    <col min="10754" max="10754" width="13.375" style="4" customWidth="1"/>
    <col min="10755" max="10755" width="10.75" style="4" customWidth="1"/>
    <col min="10756" max="10756" width="11.375" style="4" customWidth="1"/>
    <col min="10757" max="10757" width="0" style="4" hidden="1" customWidth="1"/>
    <col min="10758" max="10759" width="2.875" style="4" bestFit="1" customWidth="1"/>
    <col min="10760" max="10760" width="2.875" style="4" customWidth="1"/>
    <col min="10761" max="10762" width="2.875" style="4" bestFit="1" customWidth="1"/>
    <col min="10763" max="10771" width="2.875" style="4" customWidth="1"/>
    <col min="10772" max="10772" width="2.875" style="4" bestFit="1" customWidth="1"/>
    <col min="10773" max="10773" width="2.875" style="4" customWidth="1"/>
    <col min="10774" max="11008" width="9" style="4"/>
    <col min="11009" max="11009" width="8.125" style="4" customWidth="1"/>
    <col min="11010" max="11010" width="13.375" style="4" customWidth="1"/>
    <col min="11011" max="11011" width="10.75" style="4" customWidth="1"/>
    <col min="11012" max="11012" width="11.375" style="4" customWidth="1"/>
    <col min="11013" max="11013" width="0" style="4" hidden="1" customWidth="1"/>
    <col min="11014" max="11015" width="2.875" style="4" bestFit="1" customWidth="1"/>
    <col min="11016" max="11016" width="2.875" style="4" customWidth="1"/>
    <col min="11017" max="11018" width="2.875" style="4" bestFit="1" customWidth="1"/>
    <col min="11019" max="11027" width="2.875" style="4" customWidth="1"/>
    <col min="11028" max="11028" width="2.875" style="4" bestFit="1" customWidth="1"/>
    <col min="11029" max="11029" width="2.875" style="4" customWidth="1"/>
    <col min="11030" max="11264" width="9" style="4"/>
    <col min="11265" max="11265" width="8.125" style="4" customWidth="1"/>
    <col min="11266" max="11266" width="13.375" style="4" customWidth="1"/>
    <col min="11267" max="11267" width="10.75" style="4" customWidth="1"/>
    <col min="11268" max="11268" width="11.375" style="4" customWidth="1"/>
    <col min="11269" max="11269" width="0" style="4" hidden="1" customWidth="1"/>
    <col min="11270" max="11271" width="2.875" style="4" bestFit="1" customWidth="1"/>
    <col min="11272" max="11272" width="2.875" style="4" customWidth="1"/>
    <col min="11273" max="11274" width="2.875" style="4" bestFit="1" customWidth="1"/>
    <col min="11275" max="11283" width="2.875" style="4" customWidth="1"/>
    <col min="11284" max="11284" width="2.875" style="4" bestFit="1" customWidth="1"/>
    <col min="11285" max="11285" width="2.875" style="4" customWidth="1"/>
    <col min="11286" max="11520" width="9" style="4"/>
    <col min="11521" max="11521" width="8.125" style="4" customWidth="1"/>
    <col min="11522" max="11522" width="13.375" style="4" customWidth="1"/>
    <col min="11523" max="11523" width="10.75" style="4" customWidth="1"/>
    <col min="11524" max="11524" width="11.375" style="4" customWidth="1"/>
    <col min="11525" max="11525" width="0" style="4" hidden="1" customWidth="1"/>
    <col min="11526" max="11527" width="2.875" style="4" bestFit="1" customWidth="1"/>
    <col min="11528" max="11528" width="2.875" style="4" customWidth="1"/>
    <col min="11529" max="11530" width="2.875" style="4" bestFit="1" customWidth="1"/>
    <col min="11531" max="11539" width="2.875" style="4" customWidth="1"/>
    <col min="11540" max="11540" width="2.875" style="4" bestFit="1" customWidth="1"/>
    <col min="11541" max="11541" width="2.875" style="4" customWidth="1"/>
    <col min="11542" max="11776" width="9" style="4"/>
    <col min="11777" max="11777" width="8.125" style="4" customWidth="1"/>
    <col min="11778" max="11778" width="13.375" style="4" customWidth="1"/>
    <col min="11779" max="11779" width="10.75" style="4" customWidth="1"/>
    <col min="11780" max="11780" width="11.375" style="4" customWidth="1"/>
    <col min="11781" max="11781" width="0" style="4" hidden="1" customWidth="1"/>
    <col min="11782" max="11783" width="2.875" style="4" bestFit="1" customWidth="1"/>
    <col min="11784" max="11784" width="2.875" style="4" customWidth="1"/>
    <col min="11785" max="11786" width="2.875" style="4" bestFit="1" customWidth="1"/>
    <col min="11787" max="11795" width="2.875" style="4" customWidth="1"/>
    <col min="11796" max="11796" width="2.875" style="4" bestFit="1" customWidth="1"/>
    <col min="11797" max="11797" width="2.875" style="4" customWidth="1"/>
    <col min="11798" max="12032" width="9" style="4"/>
    <col min="12033" max="12033" width="8.125" style="4" customWidth="1"/>
    <col min="12034" max="12034" width="13.375" style="4" customWidth="1"/>
    <col min="12035" max="12035" width="10.75" style="4" customWidth="1"/>
    <col min="12036" max="12036" width="11.375" style="4" customWidth="1"/>
    <col min="12037" max="12037" width="0" style="4" hidden="1" customWidth="1"/>
    <col min="12038" max="12039" width="2.875" style="4" bestFit="1" customWidth="1"/>
    <col min="12040" max="12040" width="2.875" style="4" customWidth="1"/>
    <col min="12041" max="12042" width="2.875" style="4" bestFit="1" customWidth="1"/>
    <col min="12043" max="12051" width="2.875" style="4" customWidth="1"/>
    <col min="12052" max="12052" width="2.875" style="4" bestFit="1" customWidth="1"/>
    <col min="12053" max="12053" width="2.875" style="4" customWidth="1"/>
    <col min="12054" max="12288" width="9" style="4"/>
    <col min="12289" max="12289" width="8.125" style="4" customWidth="1"/>
    <col min="12290" max="12290" width="13.375" style="4" customWidth="1"/>
    <col min="12291" max="12291" width="10.75" style="4" customWidth="1"/>
    <col min="12292" max="12292" width="11.375" style="4" customWidth="1"/>
    <col min="12293" max="12293" width="0" style="4" hidden="1" customWidth="1"/>
    <col min="12294" max="12295" width="2.875" style="4" bestFit="1" customWidth="1"/>
    <col min="12296" max="12296" width="2.875" style="4" customWidth="1"/>
    <col min="12297" max="12298" width="2.875" style="4" bestFit="1" customWidth="1"/>
    <col min="12299" max="12307" width="2.875" style="4" customWidth="1"/>
    <col min="12308" max="12308" width="2.875" style="4" bestFit="1" customWidth="1"/>
    <col min="12309" max="12309" width="2.875" style="4" customWidth="1"/>
    <col min="12310" max="12544" width="9" style="4"/>
    <col min="12545" max="12545" width="8.125" style="4" customWidth="1"/>
    <col min="12546" max="12546" width="13.375" style="4" customWidth="1"/>
    <col min="12547" max="12547" width="10.75" style="4" customWidth="1"/>
    <col min="12548" max="12548" width="11.375" style="4" customWidth="1"/>
    <col min="12549" max="12549" width="0" style="4" hidden="1" customWidth="1"/>
    <col min="12550" max="12551" width="2.875" style="4" bestFit="1" customWidth="1"/>
    <col min="12552" max="12552" width="2.875" style="4" customWidth="1"/>
    <col min="12553" max="12554" width="2.875" style="4" bestFit="1" customWidth="1"/>
    <col min="12555" max="12563" width="2.875" style="4" customWidth="1"/>
    <col min="12564" max="12564" width="2.875" style="4" bestFit="1" customWidth="1"/>
    <col min="12565" max="12565" width="2.875" style="4" customWidth="1"/>
    <col min="12566" max="12800" width="9" style="4"/>
    <col min="12801" max="12801" width="8.125" style="4" customWidth="1"/>
    <col min="12802" max="12802" width="13.375" style="4" customWidth="1"/>
    <col min="12803" max="12803" width="10.75" style="4" customWidth="1"/>
    <col min="12804" max="12804" width="11.375" style="4" customWidth="1"/>
    <col min="12805" max="12805" width="0" style="4" hidden="1" customWidth="1"/>
    <col min="12806" max="12807" width="2.875" style="4" bestFit="1" customWidth="1"/>
    <col min="12808" max="12808" width="2.875" style="4" customWidth="1"/>
    <col min="12809" max="12810" width="2.875" style="4" bestFit="1" customWidth="1"/>
    <col min="12811" max="12819" width="2.875" style="4" customWidth="1"/>
    <col min="12820" max="12820" width="2.875" style="4" bestFit="1" customWidth="1"/>
    <col min="12821" max="12821" width="2.875" style="4" customWidth="1"/>
    <col min="12822" max="13056" width="9" style="4"/>
    <col min="13057" max="13057" width="8.125" style="4" customWidth="1"/>
    <col min="13058" max="13058" width="13.375" style="4" customWidth="1"/>
    <col min="13059" max="13059" width="10.75" style="4" customWidth="1"/>
    <col min="13060" max="13060" width="11.375" style="4" customWidth="1"/>
    <col min="13061" max="13061" width="0" style="4" hidden="1" customWidth="1"/>
    <col min="13062" max="13063" width="2.875" style="4" bestFit="1" customWidth="1"/>
    <col min="13064" max="13064" width="2.875" style="4" customWidth="1"/>
    <col min="13065" max="13066" width="2.875" style="4" bestFit="1" customWidth="1"/>
    <col min="13067" max="13075" width="2.875" style="4" customWidth="1"/>
    <col min="13076" max="13076" width="2.875" style="4" bestFit="1" customWidth="1"/>
    <col min="13077" max="13077" width="2.875" style="4" customWidth="1"/>
    <col min="13078" max="13312" width="9" style="4"/>
    <col min="13313" max="13313" width="8.125" style="4" customWidth="1"/>
    <col min="13314" max="13314" width="13.375" style="4" customWidth="1"/>
    <col min="13315" max="13315" width="10.75" style="4" customWidth="1"/>
    <col min="13316" max="13316" width="11.375" style="4" customWidth="1"/>
    <col min="13317" max="13317" width="0" style="4" hidden="1" customWidth="1"/>
    <col min="13318" max="13319" width="2.875" style="4" bestFit="1" customWidth="1"/>
    <col min="13320" max="13320" width="2.875" style="4" customWidth="1"/>
    <col min="13321" max="13322" width="2.875" style="4" bestFit="1" customWidth="1"/>
    <col min="13323" max="13331" width="2.875" style="4" customWidth="1"/>
    <col min="13332" max="13332" width="2.875" style="4" bestFit="1" customWidth="1"/>
    <col min="13333" max="13333" width="2.875" style="4" customWidth="1"/>
    <col min="13334" max="13568" width="9" style="4"/>
    <col min="13569" max="13569" width="8.125" style="4" customWidth="1"/>
    <col min="13570" max="13570" width="13.375" style="4" customWidth="1"/>
    <col min="13571" max="13571" width="10.75" style="4" customWidth="1"/>
    <col min="13572" max="13572" width="11.375" style="4" customWidth="1"/>
    <col min="13573" max="13573" width="0" style="4" hidden="1" customWidth="1"/>
    <col min="13574" max="13575" width="2.875" style="4" bestFit="1" customWidth="1"/>
    <col min="13576" max="13576" width="2.875" style="4" customWidth="1"/>
    <col min="13577" max="13578" width="2.875" style="4" bestFit="1" customWidth="1"/>
    <col min="13579" max="13587" width="2.875" style="4" customWidth="1"/>
    <col min="13588" max="13588" width="2.875" style="4" bestFit="1" customWidth="1"/>
    <col min="13589" max="13589" width="2.875" style="4" customWidth="1"/>
    <col min="13590" max="13824" width="9" style="4"/>
    <col min="13825" max="13825" width="8.125" style="4" customWidth="1"/>
    <col min="13826" max="13826" width="13.375" style="4" customWidth="1"/>
    <col min="13827" max="13827" width="10.75" style="4" customWidth="1"/>
    <col min="13828" max="13828" width="11.375" style="4" customWidth="1"/>
    <col min="13829" max="13829" width="0" style="4" hidden="1" customWidth="1"/>
    <col min="13830" max="13831" width="2.875" style="4" bestFit="1" customWidth="1"/>
    <col min="13832" max="13832" width="2.875" style="4" customWidth="1"/>
    <col min="13833" max="13834" width="2.875" style="4" bestFit="1" customWidth="1"/>
    <col min="13835" max="13843" width="2.875" style="4" customWidth="1"/>
    <col min="13844" max="13844" width="2.875" style="4" bestFit="1" customWidth="1"/>
    <col min="13845" max="13845" width="2.875" style="4" customWidth="1"/>
    <col min="13846" max="14080" width="9" style="4"/>
    <col min="14081" max="14081" width="8.125" style="4" customWidth="1"/>
    <col min="14082" max="14082" width="13.375" style="4" customWidth="1"/>
    <col min="14083" max="14083" width="10.75" style="4" customWidth="1"/>
    <col min="14084" max="14084" width="11.375" style="4" customWidth="1"/>
    <col min="14085" max="14085" width="0" style="4" hidden="1" customWidth="1"/>
    <col min="14086" max="14087" width="2.875" style="4" bestFit="1" customWidth="1"/>
    <col min="14088" max="14088" width="2.875" style="4" customWidth="1"/>
    <col min="14089" max="14090" width="2.875" style="4" bestFit="1" customWidth="1"/>
    <col min="14091" max="14099" width="2.875" style="4" customWidth="1"/>
    <col min="14100" max="14100" width="2.875" style="4" bestFit="1" customWidth="1"/>
    <col min="14101" max="14101" width="2.875" style="4" customWidth="1"/>
    <col min="14102" max="14336" width="9" style="4"/>
    <col min="14337" max="14337" width="8.125" style="4" customWidth="1"/>
    <col min="14338" max="14338" width="13.375" style="4" customWidth="1"/>
    <col min="14339" max="14339" width="10.75" style="4" customWidth="1"/>
    <col min="14340" max="14340" width="11.375" style="4" customWidth="1"/>
    <col min="14341" max="14341" width="0" style="4" hidden="1" customWidth="1"/>
    <col min="14342" max="14343" width="2.875" style="4" bestFit="1" customWidth="1"/>
    <col min="14344" max="14344" width="2.875" style="4" customWidth="1"/>
    <col min="14345" max="14346" width="2.875" style="4" bestFit="1" customWidth="1"/>
    <col min="14347" max="14355" width="2.875" style="4" customWidth="1"/>
    <col min="14356" max="14356" width="2.875" style="4" bestFit="1" customWidth="1"/>
    <col min="14357" max="14357" width="2.875" style="4" customWidth="1"/>
    <col min="14358" max="14592" width="9" style="4"/>
    <col min="14593" max="14593" width="8.125" style="4" customWidth="1"/>
    <col min="14594" max="14594" width="13.375" style="4" customWidth="1"/>
    <col min="14595" max="14595" width="10.75" style="4" customWidth="1"/>
    <col min="14596" max="14596" width="11.375" style="4" customWidth="1"/>
    <col min="14597" max="14597" width="0" style="4" hidden="1" customWidth="1"/>
    <col min="14598" max="14599" width="2.875" style="4" bestFit="1" customWidth="1"/>
    <col min="14600" max="14600" width="2.875" style="4" customWidth="1"/>
    <col min="14601" max="14602" width="2.875" style="4" bestFit="1" customWidth="1"/>
    <col min="14603" max="14611" width="2.875" style="4" customWidth="1"/>
    <col min="14612" max="14612" width="2.875" style="4" bestFit="1" customWidth="1"/>
    <col min="14613" max="14613" width="2.875" style="4" customWidth="1"/>
    <col min="14614" max="14848" width="9" style="4"/>
    <col min="14849" max="14849" width="8.125" style="4" customWidth="1"/>
    <col min="14850" max="14850" width="13.375" style="4" customWidth="1"/>
    <col min="14851" max="14851" width="10.75" style="4" customWidth="1"/>
    <col min="14852" max="14852" width="11.375" style="4" customWidth="1"/>
    <col min="14853" max="14853" width="0" style="4" hidden="1" customWidth="1"/>
    <col min="14854" max="14855" width="2.875" style="4" bestFit="1" customWidth="1"/>
    <col min="14856" max="14856" width="2.875" style="4" customWidth="1"/>
    <col min="14857" max="14858" width="2.875" style="4" bestFit="1" customWidth="1"/>
    <col min="14859" max="14867" width="2.875" style="4" customWidth="1"/>
    <col min="14868" max="14868" width="2.875" style="4" bestFit="1" customWidth="1"/>
    <col min="14869" max="14869" width="2.875" style="4" customWidth="1"/>
    <col min="14870" max="15104" width="9" style="4"/>
    <col min="15105" max="15105" width="8.125" style="4" customWidth="1"/>
    <col min="15106" max="15106" width="13.375" style="4" customWidth="1"/>
    <col min="15107" max="15107" width="10.75" style="4" customWidth="1"/>
    <col min="15108" max="15108" width="11.375" style="4" customWidth="1"/>
    <col min="15109" max="15109" width="0" style="4" hidden="1" customWidth="1"/>
    <col min="15110" max="15111" width="2.875" style="4" bestFit="1" customWidth="1"/>
    <col min="15112" max="15112" width="2.875" style="4" customWidth="1"/>
    <col min="15113" max="15114" width="2.875" style="4" bestFit="1" customWidth="1"/>
    <col min="15115" max="15123" width="2.875" style="4" customWidth="1"/>
    <col min="15124" max="15124" width="2.875" style="4" bestFit="1" customWidth="1"/>
    <col min="15125" max="15125" width="2.875" style="4" customWidth="1"/>
    <col min="15126" max="15360" width="9" style="4"/>
    <col min="15361" max="15361" width="8.125" style="4" customWidth="1"/>
    <col min="15362" max="15362" width="13.375" style="4" customWidth="1"/>
    <col min="15363" max="15363" width="10.75" style="4" customWidth="1"/>
    <col min="15364" max="15364" width="11.375" style="4" customWidth="1"/>
    <col min="15365" max="15365" width="0" style="4" hidden="1" customWidth="1"/>
    <col min="15366" max="15367" width="2.875" style="4" bestFit="1" customWidth="1"/>
    <col min="15368" max="15368" width="2.875" style="4" customWidth="1"/>
    <col min="15369" max="15370" width="2.875" style="4" bestFit="1" customWidth="1"/>
    <col min="15371" max="15379" width="2.875" style="4" customWidth="1"/>
    <col min="15380" max="15380" width="2.875" style="4" bestFit="1" customWidth="1"/>
    <col min="15381" max="15381" width="2.875" style="4" customWidth="1"/>
    <col min="15382" max="15616" width="9" style="4"/>
    <col min="15617" max="15617" width="8.125" style="4" customWidth="1"/>
    <col min="15618" max="15618" width="13.375" style="4" customWidth="1"/>
    <col min="15619" max="15619" width="10.75" style="4" customWidth="1"/>
    <col min="15620" max="15620" width="11.375" style="4" customWidth="1"/>
    <col min="15621" max="15621" width="0" style="4" hidden="1" customWidth="1"/>
    <col min="15622" max="15623" width="2.875" style="4" bestFit="1" customWidth="1"/>
    <col min="15624" max="15624" width="2.875" style="4" customWidth="1"/>
    <col min="15625" max="15626" width="2.875" style="4" bestFit="1" customWidth="1"/>
    <col min="15627" max="15635" width="2.875" style="4" customWidth="1"/>
    <col min="15636" max="15636" width="2.875" style="4" bestFit="1" customWidth="1"/>
    <col min="15637" max="15637" width="2.875" style="4" customWidth="1"/>
    <col min="15638" max="15872" width="9" style="4"/>
    <col min="15873" max="15873" width="8.125" style="4" customWidth="1"/>
    <col min="15874" max="15874" width="13.375" style="4" customWidth="1"/>
    <col min="15875" max="15875" width="10.75" style="4" customWidth="1"/>
    <col min="15876" max="15876" width="11.375" style="4" customWidth="1"/>
    <col min="15877" max="15877" width="0" style="4" hidden="1" customWidth="1"/>
    <col min="15878" max="15879" width="2.875" style="4" bestFit="1" customWidth="1"/>
    <col min="15880" max="15880" width="2.875" style="4" customWidth="1"/>
    <col min="15881" max="15882" width="2.875" style="4" bestFit="1" customWidth="1"/>
    <col min="15883" max="15891" width="2.875" style="4" customWidth="1"/>
    <col min="15892" max="15892" width="2.875" style="4" bestFit="1" customWidth="1"/>
    <col min="15893" max="15893" width="2.875" style="4" customWidth="1"/>
    <col min="15894" max="16128" width="9" style="4"/>
    <col min="16129" max="16129" width="8.125" style="4" customWidth="1"/>
    <col min="16130" max="16130" width="13.375" style="4" customWidth="1"/>
    <col min="16131" max="16131" width="10.75" style="4" customWidth="1"/>
    <col min="16132" max="16132" width="11.375" style="4" customWidth="1"/>
    <col min="16133" max="16133" width="0" style="4" hidden="1" customWidth="1"/>
    <col min="16134" max="16135" width="2.875" style="4" bestFit="1" customWidth="1"/>
    <col min="16136" max="16136" width="2.875" style="4" customWidth="1"/>
    <col min="16137" max="16138" width="2.875" style="4" bestFit="1" customWidth="1"/>
    <col min="16139" max="16147" width="2.875" style="4" customWidth="1"/>
    <col min="16148" max="16148" width="2.875" style="4" bestFit="1" customWidth="1"/>
    <col min="16149" max="16149" width="2.875" style="4" customWidth="1"/>
    <col min="16150" max="16384" width="9" style="4"/>
  </cols>
  <sheetData>
    <row r="1" spans="1:22" ht="13.5" customHeight="1">
      <c r="A1" s="97" t="s">
        <v>6</v>
      </c>
      <c r="B1" s="98"/>
      <c r="C1" s="99" t="s">
        <v>51</v>
      </c>
      <c r="D1" s="100"/>
      <c r="E1" s="101"/>
      <c r="F1" s="102" t="s">
        <v>7</v>
      </c>
      <c r="G1" s="103"/>
      <c r="H1" s="103"/>
      <c r="I1" s="103"/>
      <c r="J1" s="103"/>
      <c r="K1" s="103"/>
      <c r="L1" s="104" t="s">
        <v>51</v>
      </c>
      <c r="M1" s="105"/>
      <c r="N1" s="105"/>
      <c r="O1" s="105"/>
      <c r="P1" s="105"/>
      <c r="Q1" s="105"/>
      <c r="R1" s="105"/>
      <c r="S1" s="105"/>
      <c r="T1" s="106"/>
    </row>
    <row r="2" spans="1:22" ht="13.5" customHeight="1">
      <c r="A2" s="107" t="s">
        <v>8</v>
      </c>
      <c r="B2" s="108"/>
      <c r="C2" s="109" t="s">
        <v>50</v>
      </c>
      <c r="D2" s="110"/>
      <c r="E2" s="111"/>
      <c r="F2" s="112" t="s">
        <v>9</v>
      </c>
      <c r="G2" s="113"/>
      <c r="H2" s="113"/>
      <c r="I2" s="113"/>
      <c r="J2" s="113"/>
      <c r="K2" s="114"/>
      <c r="L2" s="115"/>
      <c r="M2" s="115"/>
      <c r="N2" s="115"/>
      <c r="O2" s="6"/>
      <c r="P2" s="6"/>
      <c r="Q2" s="6"/>
      <c r="R2" s="6"/>
      <c r="S2" s="6"/>
      <c r="T2" s="7"/>
    </row>
    <row r="3" spans="1:22" ht="13.5" customHeight="1">
      <c r="A3" s="107" t="s">
        <v>10</v>
      </c>
      <c r="B3" s="108"/>
      <c r="C3" s="123">
        <v>33</v>
      </c>
      <c r="D3" s="124"/>
      <c r="E3" s="8"/>
      <c r="F3" s="112" t="s">
        <v>11</v>
      </c>
      <c r="G3" s="113"/>
      <c r="H3" s="113"/>
      <c r="I3" s="113"/>
      <c r="J3" s="113"/>
      <c r="K3" s="114"/>
      <c r="L3" s="125">
        <v>-1</v>
      </c>
      <c r="M3" s="126"/>
      <c r="N3" s="126"/>
      <c r="O3" s="126"/>
      <c r="P3" s="126"/>
      <c r="Q3" s="126"/>
      <c r="R3" s="126"/>
      <c r="S3" s="126"/>
      <c r="T3" s="127"/>
    </row>
    <row r="4" spans="1:22" ht="13.5" customHeight="1">
      <c r="A4" s="107" t="s">
        <v>12</v>
      </c>
      <c r="B4" s="108"/>
      <c r="C4" s="128" t="s">
        <v>72</v>
      </c>
      <c r="D4" s="128"/>
      <c r="E4" s="128"/>
      <c r="F4" s="129"/>
      <c r="G4" s="129"/>
      <c r="H4" s="129"/>
      <c r="I4" s="129"/>
      <c r="J4" s="129"/>
      <c r="K4" s="129"/>
      <c r="L4" s="128"/>
      <c r="M4" s="128"/>
      <c r="N4" s="128"/>
      <c r="O4" s="128"/>
      <c r="P4" s="128"/>
      <c r="Q4" s="128"/>
      <c r="R4" s="128"/>
      <c r="S4" s="128"/>
      <c r="T4" s="128"/>
    </row>
    <row r="5" spans="1:22" ht="13.5" customHeight="1">
      <c r="A5" s="130" t="s">
        <v>13</v>
      </c>
      <c r="B5" s="131"/>
      <c r="C5" s="132" t="s">
        <v>14</v>
      </c>
      <c r="D5" s="133"/>
      <c r="E5" s="134"/>
      <c r="F5" s="132" t="s">
        <v>15</v>
      </c>
      <c r="G5" s="133"/>
      <c r="H5" s="133"/>
      <c r="I5" s="133"/>
      <c r="J5" s="133"/>
      <c r="K5" s="135"/>
      <c r="L5" s="133" t="s">
        <v>16</v>
      </c>
      <c r="M5" s="133"/>
      <c r="N5" s="133"/>
      <c r="O5" s="136" t="s">
        <v>17</v>
      </c>
      <c r="P5" s="133"/>
      <c r="Q5" s="133"/>
      <c r="R5" s="133"/>
      <c r="S5" s="133"/>
      <c r="T5" s="137"/>
    </row>
    <row r="6" spans="1:22" ht="13.5" customHeight="1" thickBot="1">
      <c r="A6" s="116">
        <f>COUNTIF(F52:HN52,"P")</f>
        <v>4</v>
      </c>
      <c r="B6" s="117"/>
      <c r="C6" s="118">
        <f>COUNTIF(F52:HN52,"F")</f>
        <v>0</v>
      </c>
      <c r="D6" s="119"/>
      <c r="E6" s="117"/>
      <c r="F6" s="118">
        <f>SUM(O6,- A6,- C6)</f>
        <v>1</v>
      </c>
      <c r="G6" s="119"/>
      <c r="H6" s="119"/>
      <c r="I6" s="119"/>
      <c r="J6" s="119"/>
      <c r="K6" s="120"/>
      <c r="L6" s="9">
        <f>COUNTIF(E51:HN51,"N")</f>
        <v>4</v>
      </c>
      <c r="M6" s="9">
        <f>COUNTIF(E51:HN51,"A")</f>
        <v>0</v>
      </c>
      <c r="N6" s="9">
        <f>COUNTIF(E51:HN51,"B")</f>
        <v>0</v>
      </c>
      <c r="O6" s="121">
        <f>COUNTA(E8:HQ8)</f>
        <v>5</v>
      </c>
      <c r="P6" s="119"/>
      <c r="Q6" s="119"/>
      <c r="R6" s="119"/>
      <c r="S6" s="119"/>
      <c r="T6" s="122"/>
      <c r="U6" s="10"/>
    </row>
    <row r="7" spans="1:22" ht="11.25" thickBot="1"/>
    <row r="8" spans="1:22" ht="46.5" customHeight="1" thickBot="1">
      <c r="A8" s="146"/>
      <c r="B8" s="147"/>
      <c r="C8" s="147"/>
      <c r="D8" s="147"/>
      <c r="E8" s="13"/>
      <c r="F8" s="14" t="s">
        <v>18</v>
      </c>
      <c r="G8" s="14" t="s">
        <v>19</v>
      </c>
      <c r="H8" s="14" t="s">
        <v>20</v>
      </c>
      <c r="I8" s="14" t="s">
        <v>55</v>
      </c>
      <c r="J8" s="14" t="s">
        <v>56</v>
      </c>
      <c r="K8" s="14"/>
      <c r="L8" s="14"/>
      <c r="M8" s="14"/>
      <c r="N8" s="14"/>
      <c r="O8" s="14"/>
      <c r="P8" s="14"/>
      <c r="Q8" s="14"/>
      <c r="R8" s="2"/>
      <c r="S8" s="15"/>
      <c r="V8" s="4"/>
    </row>
    <row r="9" spans="1:22" ht="13.5" customHeight="1">
      <c r="A9" s="16" t="s">
        <v>21</v>
      </c>
      <c r="B9" s="17" t="s">
        <v>22</v>
      </c>
      <c r="C9" s="18"/>
      <c r="D9" s="19"/>
      <c r="E9" s="74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S9" s="5"/>
      <c r="V9" s="4"/>
    </row>
    <row r="10" spans="1:22" ht="13.5" customHeight="1">
      <c r="A10" s="21"/>
      <c r="B10" s="156" t="s">
        <v>61</v>
      </c>
      <c r="C10" s="157"/>
      <c r="D10" s="157"/>
      <c r="E10" s="75"/>
      <c r="F10" s="25" t="s">
        <v>24</v>
      </c>
      <c r="G10" s="25" t="s">
        <v>24</v>
      </c>
      <c r="H10" s="25" t="s">
        <v>24</v>
      </c>
      <c r="I10" s="25" t="s">
        <v>24</v>
      </c>
      <c r="J10" s="25" t="s">
        <v>24</v>
      </c>
      <c r="K10" s="25"/>
      <c r="L10" s="25"/>
      <c r="M10" s="25"/>
      <c r="N10" s="25"/>
      <c r="O10" s="25"/>
      <c r="P10" s="25"/>
      <c r="Q10" s="25"/>
      <c r="S10" s="15"/>
      <c r="V10" s="4"/>
    </row>
    <row r="11" spans="1:22" ht="13.5" customHeight="1">
      <c r="A11" s="21"/>
      <c r="B11" s="156" t="s">
        <v>60</v>
      </c>
      <c r="C11" s="157"/>
      <c r="D11" s="157"/>
      <c r="E11" s="75"/>
      <c r="F11" s="25" t="s">
        <v>24</v>
      </c>
      <c r="G11" s="25" t="s">
        <v>24</v>
      </c>
      <c r="H11" s="25" t="s">
        <v>24</v>
      </c>
      <c r="I11" s="25" t="s">
        <v>24</v>
      </c>
      <c r="J11" s="25" t="s">
        <v>24</v>
      </c>
      <c r="K11" s="25"/>
      <c r="L11" s="25"/>
      <c r="M11" s="25"/>
      <c r="N11" s="25"/>
      <c r="O11" s="25"/>
      <c r="P11" s="25"/>
      <c r="Q11" s="25"/>
      <c r="S11" s="15"/>
      <c r="V11" s="4"/>
    </row>
    <row r="12" spans="1:22" ht="13.5" customHeight="1">
      <c r="A12" s="21"/>
      <c r="B12" s="156" t="s">
        <v>59</v>
      </c>
      <c r="C12" s="157"/>
      <c r="D12" s="157"/>
      <c r="E12" s="75"/>
      <c r="F12" s="25" t="s">
        <v>24</v>
      </c>
      <c r="G12" s="25" t="s">
        <v>24</v>
      </c>
      <c r="H12" s="25" t="s">
        <v>24</v>
      </c>
      <c r="I12" s="25" t="s">
        <v>24</v>
      </c>
      <c r="J12" s="25" t="s">
        <v>24</v>
      </c>
      <c r="K12" s="25"/>
      <c r="L12" s="25"/>
      <c r="M12" s="25"/>
      <c r="N12" s="25"/>
      <c r="O12" s="25"/>
      <c r="P12" s="25"/>
      <c r="Q12" s="25"/>
      <c r="S12" s="15"/>
      <c r="V12" s="4"/>
    </row>
    <row r="13" spans="1:22" ht="13.5" customHeight="1">
      <c r="A13" s="21"/>
      <c r="B13" s="156" t="s">
        <v>57</v>
      </c>
      <c r="C13" s="157"/>
      <c r="D13" s="157"/>
      <c r="E13" s="75"/>
      <c r="F13" s="25" t="s">
        <v>24</v>
      </c>
      <c r="G13" s="25" t="s">
        <v>24</v>
      </c>
      <c r="H13" s="25" t="s">
        <v>24</v>
      </c>
      <c r="I13" s="25" t="s">
        <v>24</v>
      </c>
      <c r="J13" s="25" t="s">
        <v>24</v>
      </c>
      <c r="K13" s="25"/>
      <c r="L13" s="25"/>
      <c r="M13" s="25"/>
      <c r="N13" s="25"/>
      <c r="O13" s="25"/>
      <c r="P13" s="25"/>
      <c r="Q13" s="25"/>
      <c r="S13" s="5"/>
      <c r="V13" s="4"/>
    </row>
    <row r="14" spans="1:22" ht="13.5" customHeight="1">
      <c r="A14" s="21"/>
      <c r="B14" s="22" t="s">
        <v>23</v>
      </c>
      <c r="C14" s="23"/>
      <c r="D14" s="24"/>
      <c r="E14" s="26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S14" s="5"/>
      <c r="V14" s="4"/>
    </row>
    <row r="15" spans="1:22" ht="15.6" customHeight="1">
      <c r="A15" s="21"/>
      <c r="B15" s="88" t="s">
        <v>52</v>
      </c>
      <c r="C15" s="23"/>
      <c r="D15" s="24"/>
      <c r="E15" s="76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S15" s="5"/>
      <c r="V15" s="4"/>
    </row>
    <row r="16" spans="1:22" ht="15.6" customHeight="1">
      <c r="A16" s="21"/>
      <c r="B16" s="88"/>
      <c r="C16" s="23"/>
      <c r="D16" s="90">
        <v>5</v>
      </c>
      <c r="E16" s="76"/>
      <c r="F16" s="25"/>
      <c r="G16" s="25"/>
      <c r="H16" s="25"/>
      <c r="I16" s="25"/>
      <c r="J16" s="25" t="s">
        <v>24</v>
      </c>
      <c r="K16" s="25"/>
      <c r="L16" s="25"/>
      <c r="M16" s="25"/>
      <c r="N16" s="25"/>
      <c r="O16" s="25"/>
      <c r="P16" s="25"/>
      <c r="Q16" s="25"/>
      <c r="S16" s="5"/>
      <c r="V16" s="4"/>
    </row>
    <row r="17" spans="1:22" ht="12.75" customHeight="1">
      <c r="A17" s="21"/>
      <c r="B17" s="22"/>
      <c r="C17" s="89"/>
      <c r="D17" s="90">
        <v>1</v>
      </c>
      <c r="E17" s="76"/>
      <c r="F17" s="25" t="s">
        <v>24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S17" s="5"/>
      <c r="V17" s="4"/>
    </row>
    <row r="18" spans="1:22" ht="13.5" customHeight="1">
      <c r="A18" s="21"/>
      <c r="B18" s="22"/>
      <c r="C18" s="89"/>
      <c r="D18" s="90">
        <v>2</v>
      </c>
      <c r="E18" s="76"/>
      <c r="F18" s="25"/>
      <c r="G18" s="25" t="s">
        <v>24</v>
      </c>
      <c r="H18" s="25"/>
      <c r="I18" s="25"/>
      <c r="J18" s="28"/>
      <c r="K18" s="25"/>
      <c r="L18" s="25"/>
      <c r="M18" s="25"/>
      <c r="N18" s="25"/>
      <c r="O18" s="25"/>
      <c r="P18" s="25"/>
      <c r="Q18" s="25"/>
      <c r="S18" s="5"/>
      <c r="V18" s="4"/>
    </row>
    <row r="19" spans="1:22" ht="13.5" customHeight="1">
      <c r="A19" s="21"/>
      <c r="B19" s="22"/>
      <c r="C19" s="89"/>
      <c r="D19" s="90">
        <v>3</v>
      </c>
      <c r="E19" s="76"/>
      <c r="F19" s="25"/>
      <c r="G19" s="25"/>
      <c r="H19" s="25" t="s">
        <v>24</v>
      </c>
      <c r="I19" s="25"/>
      <c r="J19" s="25"/>
      <c r="K19" s="25"/>
      <c r="L19" s="25"/>
      <c r="M19" s="25"/>
      <c r="N19" s="25"/>
      <c r="O19" s="25"/>
      <c r="P19" s="25"/>
      <c r="Q19" s="25"/>
      <c r="S19" s="5"/>
      <c r="V19" s="4"/>
    </row>
    <row r="20" spans="1:22" ht="13.5" customHeight="1">
      <c r="A20" s="21"/>
      <c r="B20" s="22"/>
      <c r="C20" s="89"/>
      <c r="D20" s="90">
        <v>4</v>
      </c>
      <c r="E20" s="76"/>
      <c r="F20" s="25"/>
      <c r="G20" s="25"/>
      <c r="H20" s="25"/>
      <c r="I20" s="25" t="s">
        <v>24</v>
      </c>
      <c r="J20" s="25"/>
      <c r="K20" s="25"/>
      <c r="L20" s="25"/>
      <c r="M20" s="25"/>
      <c r="N20" s="25"/>
      <c r="O20" s="25"/>
      <c r="P20" s="25"/>
      <c r="Q20" s="25"/>
      <c r="S20" s="5"/>
      <c r="V20" s="4"/>
    </row>
    <row r="21" spans="1:22" ht="13.5" customHeight="1">
      <c r="A21" s="21"/>
      <c r="B21" s="88" t="s">
        <v>53</v>
      </c>
      <c r="C21" s="23"/>
      <c r="D21" s="24"/>
      <c r="E21" s="76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9"/>
      <c r="S21" s="5"/>
      <c r="V21" s="4"/>
    </row>
    <row r="22" spans="1:22" ht="13.5" customHeight="1">
      <c r="A22" s="21"/>
      <c r="B22" s="22"/>
      <c r="C22" s="23"/>
      <c r="D22" s="148">
        <v>20</v>
      </c>
      <c r="E22" s="149"/>
      <c r="F22" s="25" t="s">
        <v>24</v>
      </c>
      <c r="G22" s="25"/>
      <c r="H22" s="25"/>
      <c r="I22" s="25" t="s">
        <v>24</v>
      </c>
      <c r="J22" s="25"/>
      <c r="K22" s="25"/>
      <c r="L22" s="25"/>
      <c r="M22" s="25"/>
      <c r="N22" s="25"/>
      <c r="O22" s="25"/>
      <c r="P22" s="25"/>
      <c r="Q22" s="25"/>
      <c r="S22" s="5"/>
      <c r="V22" s="4"/>
    </row>
    <row r="23" spans="1:22" ht="13.5" customHeight="1">
      <c r="A23" s="21"/>
      <c r="B23" s="22"/>
      <c r="C23" s="23"/>
      <c r="D23" s="150">
        <v>50</v>
      </c>
      <c r="E23" s="151"/>
      <c r="F23" s="25"/>
      <c r="G23" s="25" t="s">
        <v>24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S23" s="5"/>
      <c r="V23" s="4"/>
    </row>
    <row r="24" spans="1:22" ht="13.5" customHeight="1">
      <c r="A24" s="21"/>
      <c r="B24" s="22"/>
      <c r="C24" s="23"/>
      <c r="D24" s="152">
        <v>100</v>
      </c>
      <c r="E24" s="153"/>
      <c r="F24" s="25"/>
      <c r="G24" s="25"/>
      <c r="H24" s="25" t="s">
        <v>24</v>
      </c>
      <c r="I24" s="25"/>
      <c r="J24" s="25"/>
      <c r="K24" s="25"/>
      <c r="L24" s="25"/>
      <c r="M24" s="25"/>
      <c r="N24" s="25"/>
      <c r="O24" s="25"/>
      <c r="P24" s="25"/>
      <c r="Q24" s="25"/>
      <c r="S24" s="5"/>
      <c r="V24" s="4"/>
    </row>
    <row r="25" spans="1:22" ht="13.5" customHeight="1">
      <c r="A25" s="21"/>
      <c r="B25" s="27"/>
      <c r="C25" s="23"/>
      <c r="D25" s="24"/>
      <c r="E25" s="76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S25" s="5"/>
      <c r="V25" s="4"/>
    </row>
    <row r="26" spans="1:22" ht="13.5" customHeight="1">
      <c r="A26" s="21"/>
      <c r="B26" s="22" t="s">
        <v>54</v>
      </c>
      <c r="C26" s="23"/>
      <c r="D26" s="154"/>
      <c r="E26" s="15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S26" s="5"/>
      <c r="V26" s="4"/>
    </row>
    <row r="27" spans="1:22" ht="13.5" customHeight="1">
      <c r="A27" s="21"/>
      <c r="B27" s="22"/>
      <c r="C27" s="23"/>
      <c r="D27" s="148">
        <v>10</v>
      </c>
      <c r="E27" s="149"/>
      <c r="F27" s="25" t="s">
        <v>24</v>
      </c>
      <c r="G27" s="25"/>
      <c r="H27" s="25" t="s">
        <v>24</v>
      </c>
      <c r="I27" s="25" t="s">
        <v>24</v>
      </c>
      <c r="J27" s="25"/>
      <c r="K27" s="25"/>
      <c r="L27" s="25"/>
      <c r="M27" s="25"/>
      <c r="N27" s="25"/>
      <c r="O27" s="25"/>
      <c r="P27" s="25"/>
      <c r="Q27" s="25"/>
      <c r="S27" s="5"/>
      <c r="V27" s="4"/>
    </row>
    <row r="28" spans="1:22" ht="13.5" customHeight="1">
      <c r="A28" s="21"/>
      <c r="B28" s="22"/>
      <c r="C28" s="23"/>
      <c r="D28" s="91">
        <v>1</v>
      </c>
      <c r="E28" s="92"/>
      <c r="F28" s="25"/>
      <c r="G28" s="25" t="s">
        <v>24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S28" s="5"/>
      <c r="V28" s="4"/>
    </row>
    <row r="29" spans="1:22" ht="13.5" customHeight="1">
      <c r="A29" s="21"/>
      <c r="B29" s="22"/>
      <c r="C29" s="23"/>
      <c r="D29" s="30"/>
      <c r="E29" s="7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S29" s="5"/>
      <c r="V29" s="4"/>
    </row>
    <row r="30" spans="1:22" ht="13.5" customHeight="1">
      <c r="A30" s="21"/>
      <c r="B30" s="22" t="s">
        <v>58</v>
      </c>
      <c r="C30" s="23"/>
      <c r="D30" s="30"/>
      <c r="E30" s="77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S30" s="5"/>
      <c r="V30" s="4"/>
    </row>
    <row r="31" spans="1:22" ht="13.5" customHeight="1">
      <c r="A31" s="21"/>
      <c r="B31" s="22"/>
      <c r="C31" s="23"/>
      <c r="D31" s="30" t="b">
        <v>1</v>
      </c>
      <c r="E31" s="77"/>
      <c r="F31" s="25" t="s">
        <v>24</v>
      </c>
      <c r="G31" s="25"/>
      <c r="H31" s="25" t="s">
        <v>24</v>
      </c>
      <c r="I31" s="25" t="s">
        <v>24</v>
      </c>
      <c r="J31" s="25"/>
      <c r="K31" s="25"/>
      <c r="L31" s="25"/>
      <c r="M31" s="25"/>
      <c r="N31" s="25"/>
      <c r="O31" s="25"/>
      <c r="P31" s="25"/>
      <c r="Q31" s="25"/>
      <c r="S31" s="5"/>
      <c r="V31" s="4"/>
    </row>
    <row r="32" spans="1:22" ht="13.5" customHeight="1" thickBot="1">
      <c r="A32" s="21"/>
      <c r="B32" s="31"/>
      <c r="C32" s="23"/>
      <c r="D32" s="30" t="b">
        <v>0</v>
      </c>
      <c r="E32" s="77"/>
      <c r="F32" s="25"/>
      <c r="G32" s="25" t="s">
        <v>24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S32" s="5"/>
      <c r="V32" s="4"/>
    </row>
    <row r="33" spans="1:22" ht="13.5" customHeight="1">
      <c r="A33" s="32" t="s">
        <v>25</v>
      </c>
      <c r="B33" s="33" t="s">
        <v>26</v>
      </c>
      <c r="C33" s="34"/>
      <c r="D33" s="35"/>
      <c r="E33" s="78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S33" s="5"/>
      <c r="V33" s="4"/>
    </row>
    <row r="34" spans="1:22" ht="13.5" customHeight="1">
      <c r="A34" s="37"/>
      <c r="B34" s="38"/>
      <c r="C34" s="39"/>
      <c r="D34" s="93">
        <v>1026000</v>
      </c>
      <c r="E34" s="79"/>
      <c r="F34" s="25" t="s">
        <v>24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S34" s="5"/>
      <c r="V34" s="4"/>
    </row>
    <row r="35" spans="1:22" ht="13.5" customHeight="1">
      <c r="A35" s="37"/>
      <c r="B35" s="38"/>
      <c r="C35" s="41"/>
      <c r="D35" s="93">
        <v>5000000</v>
      </c>
      <c r="E35" s="80"/>
      <c r="F35" s="25"/>
      <c r="G35" s="25" t="s">
        <v>24</v>
      </c>
      <c r="H35" s="52"/>
      <c r="I35" s="25"/>
      <c r="J35" s="25"/>
      <c r="K35" s="25"/>
      <c r="L35" s="25"/>
      <c r="M35" s="25"/>
      <c r="N35" s="25"/>
      <c r="O35" s="25"/>
      <c r="P35" s="25"/>
      <c r="Q35" s="25"/>
      <c r="S35" s="5"/>
      <c r="V35" s="4"/>
    </row>
    <row r="36" spans="1:22" ht="13.5" customHeight="1">
      <c r="A36" s="37"/>
      <c r="B36" s="38"/>
      <c r="C36" s="41"/>
      <c r="D36" s="93">
        <v>8977500</v>
      </c>
      <c r="E36" s="80"/>
      <c r="F36" s="25"/>
      <c r="G36" s="25"/>
      <c r="H36" s="25" t="s">
        <v>24</v>
      </c>
      <c r="I36" s="25"/>
      <c r="J36" s="25"/>
      <c r="K36" s="25"/>
      <c r="L36" s="25"/>
      <c r="M36" s="25"/>
      <c r="N36" s="25"/>
      <c r="O36" s="25"/>
      <c r="P36" s="25"/>
      <c r="Q36" s="25"/>
      <c r="S36" s="5"/>
      <c r="V36" s="4"/>
    </row>
    <row r="37" spans="1:22" ht="13.5" customHeight="1">
      <c r="A37" s="37"/>
      <c r="B37" s="38"/>
      <c r="C37" s="41"/>
      <c r="D37" s="93">
        <v>10260000</v>
      </c>
      <c r="E37" s="80"/>
      <c r="F37" s="25"/>
      <c r="G37" s="25"/>
      <c r="H37" s="52"/>
      <c r="I37" s="25" t="s">
        <v>24</v>
      </c>
      <c r="J37" s="25"/>
      <c r="K37" s="25"/>
      <c r="L37" s="25"/>
      <c r="M37" s="25"/>
      <c r="N37" s="25"/>
      <c r="O37" s="25"/>
      <c r="P37" s="25"/>
      <c r="Q37" s="25"/>
      <c r="S37" s="5"/>
      <c r="V37" s="4"/>
    </row>
    <row r="38" spans="1:22" ht="13.5" customHeight="1">
      <c r="A38" s="37"/>
      <c r="B38" s="38"/>
      <c r="C38" s="41"/>
      <c r="D38" s="93">
        <v>855000</v>
      </c>
      <c r="E38" s="80"/>
      <c r="F38" s="25"/>
      <c r="G38" s="25"/>
      <c r="H38" s="52"/>
      <c r="I38" s="25"/>
      <c r="J38" s="25"/>
      <c r="K38" s="25"/>
      <c r="L38" s="25"/>
      <c r="M38" s="25"/>
      <c r="N38" s="25"/>
      <c r="O38" s="25"/>
      <c r="P38" s="25"/>
      <c r="Q38" s="25"/>
      <c r="S38" s="5"/>
      <c r="V38" s="4"/>
    </row>
    <row r="39" spans="1:22" ht="13.5" customHeight="1">
      <c r="A39" s="37"/>
      <c r="B39" s="38"/>
      <c r="C39" s="41"/>
      <c r="D39" s="93">
        <v>1282500</v>
      </c>
      <c r="E39" s="80"/>
      <c r="F39" s="25"/>
      <c r="G39" s="25"/>
      <c r="H39" s="52"/>
      <c r="I39" s="25"/>
      <c r="J39" s="25"/>
      <c r="K39" s="25"/>
      <c r="L39" s="25"/>
      <c r="M39" s="25"/>
      <c r="N39" s="25"/>
      <c r="O39" s="25"/>
      <c r="P39" s="25"/>
      <c r="Q39" s="25"/>
      <c r="S39" s="5"/>
      <c r="V39" s="4"/>
    </row>
    <row r="40" spans="1:22" ht="13.5" customHeight="1">
      <c r="A40" s="37"/>
      <c r="B40" s="38"/>
      <c r="C40" s="41"/>
      <c r="D40" s="93">
        <v>5130000</v>
      </c>
      <c r="E40" s="80"/>
      <c r="F40" s="25"/>
      <c r="G40" s="25"/>
      <c r="H40" s="52"/>
      <c r="I40" s="25"/>
      <c r="J40" s="25"/>
      <c r="K40" s="25"/>
      <c r="L40" s="25"/>
      <c r="M40" s="25"/>
      <c r="N40" s="25"/>
      <c r="O40" s="25"/>
      <c r="P40" s="25"/>
      <c r="Q40" s="25"/>
      <c r="S40" s="5"/>
      <c r="V40" s="4"/>
    </row>
    <row r="41" spans="1:22" ht="13.5" customHeight="1">
      <c r="A41" s="37"/>
      <c r="B41" s="38"/>
      <c r="C41" s="41"/>
      <c r="D41" s="93">
        <v>6412500</v>
      </c>
      <c r="E41" s="80"/>
      <c r="F41" s="25"/>
      <c r="G41" s="25"/>
      <c r="H41" s="52"/>
      <c r="I41" s="25"/>
      <c r="J41" s="25"/>
      <c r="K41" s="25"/>
      <c r="L41" s="25"/>
      <c r="M41" s="25"/>
      <c r="N41" s="25"/>
      <c r="O41" s="25"/>
      <c r="P41" s="25"/>
      <c r="Q41" s="25"/>
      <c r="S41" s="5"/>
      <c r="V41" s="4"/>
    </row>
    <row r="42" spans="1:22" ht="13.5" customHeight="1">
      <c r="A42" s="37"/>
      <c r="B42" s="38"/>
      <c r="C42" s="41"/>
      <c r="D42" s="93">
        <v>7182000</v>
      </c>
      <c r="E42" s="80"/>
      <c r="F42" s="25"/>
      <c r="G42" s="25"/>
      <c r="H42" s="52"/>
      <c r="I42" s="25"/>
      <c r="J42" s="25"/>
      <c r="K42" s="25"/>
      <c r="L42" s="25"/>
      <c r="M42" s="25"/>
      <c r="N42" s="25"/>
      <c r="O42" s="25"/>
      <c r="P42" s="25"/>
      <c r="Q42" s="25"/>
      <c r="S42" s="5"/>
      <c r="V42" s="4"/>
    </row>
    <row r="43" spans="1:22" ht="13.5" customHeight="1">
      <c r="A43" s="37"/>
      <c r="B43" s="38"/>
      <c r="C43" s="41"/>
      <c r="D43" s="93">
        <v>5985000</v>
      </c>
      <c r="E43" s="80"/>
      <c r="F43" s="25"/>
      <c r="G43" s="25"/>
      <c r="H43" s="52"/>
      <c r="I43" s="25"/>
      <c r="J43" s="25"/>
      <c r="K43" s="25"/>
      <c r="L43" s="25"/>
      <c r="M43" s="25"/>
      <c r="N43" s="25"/>
      <c r="O43" s="25"/>
      <c r="P43" s="25"/>
      <c r="Q43" s="25"/>
      <c r="S43" s="5"/>
      <c r="V43" s="4"/>
    </row>
    <row r="44" spans="1:22" ht="13.5" customHeight="1">
      <c r="A44" s="37"/>
      <c r="B44" s="38"/>
      <c r="C44" s="41"/>
      <c r="D44" s="93">
        <v>8550000</v>
      </c>
      <c r="E44" s="80"/>
      <c r="F44" s="25"/>
      <c r="G44" s="25"/>
      <c r="H44" s="52"/>
      <c r="I44" s="25"/>
      <c r="J44" s="25"/>
      <c r="K44" s="25"/>
      <c r="L44" s="25"/>
      <c r="M44" s="25"/>
      <c r="N44" s="25"/>
      <c r="O44" s="25"/>
      <c r="P44" s="25"/>
      <c r="Q44" s="25"/>
      <c r="S44" s="5"/>
      <c r="V44" s="4"/>
    </row>
    <row r="45" spans="1:22" ht="13.5" customHeight="1">
      <c r="A45" s="37"/>
      <c r="B45" s="38"/>
      <c r="C45" s="41"/>
      <c r="D45" s="93">
        <v>12825000</v>
      </c>
      <c r="E45" s="80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S45" s="5"/>
      <c r="V45" s="4"/>
    </row>
    <row r="46" spans="1:22" ht="13.5" customHeight="1">
      <c r="A46" s="37"/>
      <c r="B46" s="38" t="s">
        <v>27</v>
      </c>
      <c r="C46" s="41"/>
      <c r="D46" s="42"/>
      <c r="E46" s="80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S46" s="5"/>
      <c r="V46" s="4"/>
    </row>
    <row r="47" spans="1:22" ht="13.5" customHeight="1">
      <c r="A47" s="37"/>
      <c r="B47" s="38"/>
      <c r="C47" s="41"/>
      <c r="D47" s="42" t="s">
        <v>111</v>
      </c>
      <c r="E47" s="80"/>
      <c r="F47" s="25"/>
      <c r="G47" s="25"/>
      <c r="H47" s="25"/>
      <c r="I47" s="25"/>
      <c r="J47" s="25" t="s">
        <v>24</v>
      </c>
      <c r="K47" s="25"/>
      <c r="L47" s="25"/>
      <c r="M47" s="25"/>
      <c r="N47" s="25"/>
      <c r="O47" s="25"/>
      <c r="P47" s="25"/>
      <c r="Q47" s="25"/>
      <c r="S47" s="5"/>
      <c r="V47" s="4"/>
    </row>
    <row r="48" spans="1:22" ht="13.5" customHeight="1">
      <c r="A48" s="37"/>
      <c r="B48" s="38" t="s">
        <v>28</v>
      </c>
      <c r="C48" s="41"/>
      <c r="D48" s="42"/>
      <c r="E48" s="80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S48" s="5"/>
      <c r="V48" s="4"/>
    </row>
    <row r="49" spans="1:22" ht="13.5" customHeight="1">
      <c r="A49" s="37"/>
      <c r="B49" s="38"/>
      <c r="C49" s="41"/>
      <c r="D49" s="40"/>
      <c r="E49" s="80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S49" s="5"/>
      <c r="V49" s="4"/>
    </row>
    <row r="50" spans="1:22" ht="13.5" customHeight="1" thickBot="1">
      <c r="A50" s="43"/>
      <c r="B50" s="44"/>
      <c r="C50" s="45"/>
      <c r="D50" s="46"/>
      <c r="E50" s="81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S50" s="5"/>
      <c r="V50" s="4"/>
    </row>
    <row r="51" spans="1:22" ht="13.5" customHeight="1">
      <c r="A51" s="37" t="s">
        <v>29</v>
      </c>
      <c r="B51" s="138" t="s">
        <v>30</v>
      </c>
      <c r="C51" s="139"/>
      <c r="D51" s="139"/>
      <c r="E51" s="48"/>
      <c r="F51" s="49" t="s">
        <v>31</v>
      </c>
      <c r="G51" s="49" t="s">
        <v>31</v>
      </c>
      <c r="H51" s="49" t="s">
        <v>31</v>
      </c>
      <c r="I51" s="49" t="s">
        <v>31</v>
      </c>
      <c r="J51" s="49"/>
      <c r="K51" s="49"/>
      <c r="L51" s="49"/>
      <c r="M51" s="49"/>
      <c r="N51" s="49"/>
      <c r="O51" s="49"/>
      <c r="P51" s="49"/>
      <c r="Q51" s="49"/>
      <c r="S51" s="5"/>
      <c r="V51" s="4"/>
    </row>
    <row r="52" spans="1:22" ht="13.5" customHeight="1">
      <c r="A52" s="37"/>
      <c r="B52" s="140" t="s">
        <v>32</v>
      </c>
      <c r="C52" s="141"/>
      <c r="D52" s="141"/>
      <c r="E52" s="50"/>
      <c r="F52" s="51" t="s">
        <v>74</v>
      </c>
      <c r="G52" s="51" t="s">
        <v>74</v>
      </c>
      <c r="H52" s="51" t="s">
        <v>74</v>
      </c>
      <c r="I52" s="51" t="s">
        <v>74</v>
      </c>
      <c r="J52" s="51"/>
      <c r="K52" s="51"/>
      <c r="L52" s="51"/>
      <c r="M52" s="51"/>
      <c r="N52" s="51"/>
      <c r="O52" s="51"/>
      <c r="P52" s="51"/>
      <c r="Q52" s="51"/>
      <c r="S52" s="5"/>
      <c r="V52" s="4"/>
    </row>
    <row r="53" spans="1:22" ht="13.5" customHeight="1">
      <c r="A53" s="37"/>
      <c r="B53" s="142" t="s">
        <v>33</v>
      </c>
      <c r="C53" s="143"/>
      <c r="D53" s="143"/>
      <c r="E53" s="52"/>
      <c r="F53" s="53" t="s">
        <v>73</v>
      </c>
      <c r="G53" s="53" t="s">
        <v>73</v>
      </c>
      <c r="H53" s="53" t="s">
        <v>73</v>
      </c>
      <c r="I53" s="53" t="s">
        <v>73</v>
      </c>
      <c r="J53" s="53"/>
      <c r="K53" s="53"/>
      <c r="L53" s="53"/>
      <c r="M53" s="53"/>
      <c r="N53" s="53"/>
      <c r="O53" s="53"/>
      <c r="P53" s="53"/>
      <c r="Q53" s="53"/>
      <c r="S53" s="5"/>
      <c r="V53" s="4"/>
    </row>
    <row r="54" spans="1:22" ht="11.25" thickBot="1">
      <c r="A54" s="43"/>
      <c r="B54" s="144" t="s">
        <v>34</v>
      </c>
      <c r="C54" s="145"/>
      <c r="D54" s="145"/>
      <c r="E54" s="54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S54" s="5"/>
      <c r="V54" s="4"/>
    </row>
    <row r="55" spans="1:22">
      <c r="A55" s="56"/>
    </row>
    <row r="58" spans="1:22">
      <c r="A58" s="2" t="s">
        <v>4</v>
      </c>
      <c r="B58" s="3" t="s">
        <v>5</v>
      </c>
    </row>
    <row r="59" spans="1:22">
      <c r="B59" s="57" t="s">
        <v>35</v>
      </c>
      <c r="C59" s="58"/>
    </row>
  </sheetData>
  <mergeCells count="37">
    <mergeCell ref="B51:D51"/>
    <mergeCell ref="B52:D52"/>
    <mergeCell ref="B53:D53"/>
    <mergeCell ref="B54:D54"/>
    <mergeCell ref="A8:D8"/>
    <mergeCell ref="D22:E22"/>
    <mergeCell ref="D23:E23"/>
    <mergeCell ref="D24:E24"/>
    <mergeCell ref="D26:E26"/>
    <mergeCell ref="D27:E27"/>
    <mergeCell ref="B10:D10"/>
    <mergeCell ref="B11:D11"/>
    <mergeCell ref="B12:D12"/>
    <mergeCell ref="B13:D13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A1:B1"/>
    <mergeCell ref="C1:E1"/>
    <mergeCell ref="F1:K1"/>
    <mergeCell ref="L1:T1"/>
    <mergeCell ref="A2:B2"/>
    <mergeCell ref="C2:E2"/>
    <mergeCell ref="F2:K2"/>
    <mergeCell ref="L2:N2"/>
  </mergeCells>
  <phoneticPr fontId="31" type="noConversion"/>
  <dataValidations count="3">
    <dataValidation type="list" allowBlank="1" showInputMessage="1" showErrorMessage="1" sqref="WVN983091:WWB983091 IY51:JM51 SU51:TI51 ACQ51:ADE51 AMM51:ANA51 AWI51:AWW51 BGE51:BGS51 BQA51:BQO51 BZW51:CAK51 CJS51:CKG51 CTO51:CUC51 DDK51:DDY51 DNG51:DNU51 DXC51:DXQ51 EGY51:EHM51 EQU51:ERI51 FAQ51:FBE51 FKM51:FLA51 FUI51:FUW51 GEE51:GES51 GOA51:GOO51 GXW51:GYK51 HHS51:HIG51 HRO51:HSC51 IBK51:IBY51 ILG51:ILU51 IVC51:IVQ51 JEY51:JFM51 JOU51:JPI51 JYQ51:JZE51 KIM51:KJA51 KSI51:KSW51 LCE51:LCS51 LMA51:LMO51 LVW51:LWK51 MFS51:MGG51 MPO51:MQC51 MZK51:MZY51 NJG51:NJU51 NTC51:NTQ51 OCY51:ODM51 OMU51:ONI51 OWQ51:OXE51 PGM51:PHA51 PQI51:PQW51 QAE51:QAS51 QKA51:QKO51 QTW51:QUK51 RDS51:REG51 RNO51:ROC51 RXK51:RXY51 SHG51:SHU51 SRC51:SRQ51 TAY51:TBM51 TKU51:TLI51 TUQ51:TVE51 UEM51:UFA51 UOI51:UOW51 UYE51:UYS51 VIA51:VIO51 VRW51:VSK51 WBS51:WCG51 WLO51:WMC51 WVK51:WVY51 F65587:T65587 JB65587:JP65587 SX65587:TL65587 ACT65587:ADH65587 AMP65587:AND65587 AWL65587:AWZ65587 BGH65587:BGV65587 BQD65587:BQR65587 BZZ65587:CAN65587 CJV65587:CKJ65587 CTR65587:CUF65587 DDN65587:DEB65587 DNJ65587:DNX65587 DXF65587:DXT65587 EHB65587:EHP65587 EQX65587:ERL65587 FAT65587:FBH65587 FKP65587:FLD65587 FUL65587:FUZ65587 GEH65587:GEV65587 GOD65587:GOR65587 GXZ65587:GYN65587 HHV65587:HIJ65587 HRR65587:HSF65587 IBN65587:ICB65587 ILJ65587:ILX65587 IVF65587:IVT65587 JFB65587:JFP65587 JOX65587:JPL65587 JYT65587:JZH65587 KIP65587:KJD65587 KSL65587:KSZ65587 LCH65587:LCV65587 LMD65587:LMR65587 LVZ65587:LWN65587 MFV65587:MGJ65587 MPR65587:MQF65587 MZN65587:NAB65587 NJJ65587:NJX65587 NTF65587:NTT65587 ODB65587:ODP65587 OMX65587:ONL65587 OWT65587:OXH65587 PGP65587:PHD65587 PQL65587:PQZ65587 QAH65587:QAV65587 QKD65587:QKR65587 QTZ65587:QUN65587 RDV65587:REJ65587 RNR65587:ROF65587 RXN65587:RYB65587 SHJ65587:SHX65587 SRF65587:SRT65587 TBB65587:TBP65587 TKX65587:TLL65587 TUT65587:TVH65587 UEP65587:UFD65587 UOL65587:UOZ65587 UYH65587:UYV65587 VID65587:VIR65587 VRZ65587:VSN65587 WBV65587:WCJ65587 WLR65587:WMF65587 WVN65587:WWB65587 F131123:T131123 JB131123:JP131123 SX131123:TL131123 ACT131123:ADH131123 AMP131123:AND131123 AWL131123:AWZ131123 BGH131123:BGV131123 BQD131123:BQR131123 BZZ131123:CAN131123 CJV131123:CKJ131123 CTR131123:CUF131123 DDN131123:DEB131123 DNJ131123:DNX131123 DXF131123:DXT131123 EHB131123:EHP131123 EQX131123:ERL131123 FAT131123:FBH131123 FKP131123:FLD131123 FUL131123:FUZ131123 GEH131123:GEV131123 GOD131123:GOR131123 GXZ131123:GYN131123 HHV131123:HIJ131123 HRR131123:HSF131123 IBN131123:ICB131123 ILJ131123:ILX131123 IVF131123:IVT131123 JFB131123:JFP131123 JOX131123:JPL131123 JYT131123:JZH131123 KIP131123:KJD131123 KSL131123:KSZ131123 LCH131123:LCV131123 LMD131123:LMR131123 LVZ131123:LWN131123 MFV131123:MGJ131123 MPR131123:MQF131123 MZN131123:NAB131123 NJJ131123:NJX131123 NTF131123:NTT131123 ODB131123:ODP131123 OMX131123:ONL131123 OWT131123:OXH131123 PGP131123:PHD131123 PQL131123:PQZ131123 QAH131123:QAV131123 QKD131123:QKR131123 QTZ131123:QUN131123 RDV131123:REJ131123 RNR131123:ROF131123 RXN131123:RYB131123 SHJ131123:SHX131123 SRF131123:SRT131123 TBB131123:TBP131123 TKX131123:TLL131123 TUT131123:TVH131123 UEP131123:UFD131123 UOL131123:UOZ131123 UYH131123:UYV131123 VID131123:VIR131123 VRZ131123:VSN131123 WBV131123:WCJ131123 WLR131123:WMF131123 WVN131123:WWB131123 F196659:T196659 JB196659:JP196659 SX196659:TL196659 ACT196659:ADH196659 AMP196659:AND196659 AWL196659:AWZ196659 BGH196659:BGV196659 BQD196659:BQR196659 BZZ196659:CAN196659 CJV196659:CKJ196659 CTR196659:CUF196659 DDN196659:DEB196659 DNJ196659:DNX196659 DXF196659:DXT196659 EHB196659:EHP196659 EQX196659:ERL196659 FAT196659:FBH196659 FKP196659:FLD196659 FUL196659:FUZ196659 GEH196659:GEV196659 GOD196659:GOR196659 GXZ196659:GYN196659 HHV196659:HIJ196659 HRR196659:HSF196659 IBN196659:ICB196659 ILJ196659:ILX196659 IVF196659:IVT196659 JFB196659:JFP196659 JOX196659:JPL196659 JYT196659:JZH196659 KIP196659:KJD196659 KSL196659:KSZ196659 LCH196659:LCV196659 LMD196659:LMR196659 LVZ196659:LWN196659 MFV196659:MGJ196659 MPR196659:MQF196659 MZN196659:NAB196659 NJJ196659:NJX196659 NTF196659:NTT196659 ODB196659:ODP196659 OMX196659:ONL196659 OWT196659:OXH196659 PGP196659:PHD196659 PQL196659:PQZ196659 QAH196659:QAV196659 QKD196659:QKR196659 QTZ196659:QUN196659 RDV196659:REJ196659 RNR196659:ROF196659 RXN196659:RYB196659 SHJ196659:SHX196659 SRF196659:SRT196659 TBB196659:TBP196659 TKX196659:TLL196659 TUT196659:TVH196659 UEP196659:UFD196659 UOL196659:UOZ196659 UYH196659:UYV196659 VID196659:VIR196659 VRZ196659:VSN196659 WBV196659:WCJ196659 WLR196659:WMF196659 WVN196659:WWB196659 F262195:T262195 JB262195:JP262195 SX262195:TL262195 ACT262195:ADH262195 AMP262195:AND262195 AWL262195:AWZ262195 BGH262195:BGV262195 BQD262195:BQR262195 BZZ262195:CAN262195 CJV262195:CKJ262195 CTR262195:CUF262195 DDN262195:DEB262195 DNJ262195:DNX262195 DXF262195:DXT262195 EHB262195:EHP262195 EQX262195:ERL262195 FAT262195:FBH262195 FKP262195:FLD262195 FUL262195:FUZ262195 GEH262195:GEV262195 GOD262195:GOR262195 GXZ262195:GYN262195 HHV262195:HIJ262195 HRR262195:HSF262195 IBN262195:ICB262195 ILJ262195:ILX262195 IVF262195:IVT262195 JFB262195:JFP262195 JOX262195:JPL262195 JYT262195:JZH262195 KIP262195:KJD262195 KSL262195:KSZ262195 LCH262195:LCV262195 LMD262195:LMR262195 LVZ262195:LWN262195 MFV262195:MGJ262195 MPR262195:MQF262195 MZN262195:NAB262195 NJJ262195:NJX262195 NTF262195:NTT262195 ODB262195:ODP262195 OMX262195:ONL262195 OWT262195:OXH262195 PGP262195:PHD262195 PQL262195:PQZ262195 QAH262195:QAV262195 QKD262195:QKR262195 QTZ262195:QUN262195 RDV262195:REJ262195 RNR262195:ROF262195 RXN262195:RYB262195 SHJ262195:SHX262195 SRF262195:SRT262195 TBB262195:TBP262195 TKX262195:TLL262195 TUT262195:TVH262195 UEP262195:UFD262195 UOL262195:UOZ262195 UYH262195:UYV262195 VID262195:VIR262195 VRZ262195:VSN262195 WBV262195:WCJ262195 WLR262195:WMF262195 WVN262195:WWB262195 F327731:T327731 JB327731:JP327731 SX327731:TL327731 ACT327731:ADH327731 AMP327731:AND327731 AWL327731:AWZ327731 BGH327731:BGV327731 BQD327731:BQR327731 BZZ327731:CAN327731 CJV327731:CKJ327731 CTR327731:CUF327731 DDN327731:DEB327731 DNJ327731:DNX327731 DXF327731:DXT327731 EHB327731:EHP327731 EQX327731:ERL327731 FAT327731:FBH327731 FKP327731:FLD327731 FUL327731:FUZ327731 GEH327731:GEV327731 GOD327731:GOR327731 GXZ327731:GYN327731 HHV327731:HIJ327731 HRR327731:HSF327731 IBN327731:ICB327731 ILJ327731:ILX327731 IVF327731:IVT327731 JFB327731:JFP327731 JOX327731:JPL327731 JYT327731:JZH327731 KIP327731:KJD327731 KSL327731:KSZ327731 LCH327731:LCV327731 LMD327731:LMR327731 LVZ327731:LWN327731 MFV327731:MGJ327731 MPR327731:MQF327731 MZN327731:NAB327731 NJJ327731:NJX327731 NTF327731:NTT327731 ODB327731:ODP327731 OMX327731:ONL327731 OWT327731:OXH327731 PGP327731:PHD327731 PQL327731:PQZ327731 QAH327731:QAV327731 QKD327731:QKR327731 QTZ327731:QUN327731 RDV327731:REJ327731 RNR327731:ROF327731 RXN327731:RYB327731 SHJ327731:SHX327731 SRF327731:SRT327731 TBB327731:TBP327731 TKX327731:TLL327731 TUT327731:TVH327731 UEP327731:UFD327731 UOL327731:UOZ327731 UYH327731:UYV327731 VID327731:VIR327731 VRZ327731:VSN327731 WBV327731:WCJ327731 WLR327731:WMF327731 WVN327731:WWB327731 F393267:T393267 JB393267:JP393267 SX393267:TL393267 ACT393267:ADH393267 AMP393267:AND393267 AWL393267:AWZ393267 BGH393267:BGV393267 BQD393267:BQR393267 BZZ393267:CAN393267 CJV393267:CKJ393267 CTR393267:CUF393267 DDN393267:DEB393267 DNJ393267:DNX393267 DXF393267:DXT393267 EHB393267:EHP393267 EQX393267:ERL393267 FAT393267:FBH393267 FKP393267:FLD393267 FUL393267:FUZ393267 GEH393267:GEV393267 GOD393267:GOR393267 GXZ393267:GYN393267 HHV393267:HIJ393267 HRR393267:HSF393267 IBN393267:ICB393267 ILJ393267:ILX393267 IVF393267:IVT393267 JFB393267:JFP393267 JOX393267:JPL393267 JYT393267:JZH393267 KIP393267:KJD393267 KSL393267:KSZ393267 LCH393267:LCV393267 LMD393267:LMR393267 LVZ393267:LWN393267 MFV393267:MGJ393267 MPR393267:MQF393267 MZN393267:NAB393267 NJJ393267:NJX393267 NTF393267:NTT393267 ODB393267:ODP393267 OMX393267:ONL393267 OWT393267:OXH393267 PGP393267:PHD393267 PQL393267:PQZ393267 QAH393267:QAV393267 QKD393267:QKR393267 QTZ393267:QUN393267 RDV393267:REJ393267 RNR393267:ROF393267 RXN393267:RYB393267 SHJ393267:SHX393267 SRF393267:SRT393267 TBB393267:TBP393267 TKX393267:TLL393267 TUT393267:TVH393267 UEP393267:UFD393267 UOL393267:UOZ393267 UYH393267:UYV393267 VID393267:VIR393267 VRZ393267:VSN393267 WBV393267:WCJ393267 WLR393267:WMF393267 WVN393267:WWB393267 F458803:T458803 JB458803:JP458803 SX458803:TL458803 ACT458803:ADH458803 AMP458803:AND458803 AWL458803:AWZ458803 BGH458803:BGV458803 BQD458803:BQR458803 BZZ458803:CAN458803 CJV458803:CKJ458803 CTR458803:CUF458803 DDN458803:DEB458803 DNJ458803:DNX458803 DXF458803:DXT458803 EHB458803:EHP458803 EQX458803:ERL458803 FAT458803:FBH458803 FKP458803:FLD458803 FUL458803:FUZ458803 GEH458803:GEV458803 GOD458803:GOR458803 GXZ458803:GYN458803 HHV458803:HIJ458803 HRR458803:HSF458803 IBN458803:ICB458803 ILJ458803:ILX458803 IVF458803:IVT458803 JFB458803:JFP458803 JOX458803:JPL458803 JYT458803:JZH458803 KIP458803:KJD458803 KSL458803:KSZ458803 LCH458803:LCV458803 LMD458803:LMR458803 LVZ458803:LWN458803 MFV458803:MGJ458803 MPR458803:MQF458803 MZN458803:NAB458803 NJJ458803:NJX458803 NTF458803:NTT458803 ODB458803:ODP458803 OMX458803:ONL458803 OWT458803:OXH458803 PGP458803:PHD458803 PQL458803:PQZ458803 QAH458803:QAV458803 QKD458803:QKR458803 QTZ458803:QUN458803 RDV458803:REJ458803 RNR458803:ROF458803 RXN458803:RYB458803 SHJ458803:SHX458803 SRF458803:SRT458803 TBB458803:TBP458803 TKX458803:TLL458803 TUT458803:TVH458803 UEP458803:UFD458803 UOL458803:UOZ458803 UYH458803:UYV458803 VID458803:VIR458803 VRZ458803:VSN458803 WBV458803:WCJ458803 WLR458803:WMF458803 WVN458803:WWB458803 F524339:T524339 JB524339:JP524339 SX524339:TL524339 ACT524339:ADH524339 AMP524339:AND524339 AWL524339:AWZ524339 BGH524339:BGV524339 BQD524339:BQR524339 BZZ524339:CAN524339 CJV524339:CKJ524339 CTR524339:CUF524339 DDN524339:DEB524339 DNJ524339:DNX524339 DXF524339:DXT524339 EHB524339:EHP524339 EQX524339:ERL524339 FAT524339:FBH524339 FKP524339:FLD524339 FUL524339:FUZ524339 GEH524339:GEV524339 GOD524339:GOR524339 GXZ524339:GYN524339 HHV524339:HIJ524339 HRR524339:HSF524339 IBN524339:ICB524339 ILJ524339:ILX524339 IVF524339:IVT524339 JFB524339:JFP524339 JOX524339:JPL524339 JYT524339:JZH524339 KIP524339:KJD524339 KSL524339:KSZ524339 LCH524339:LCV524339 LMD524339:LMR524339 LVZ524339:LWN524339 MFV524339:MGJ524339 MPR524339:MQF524339 MZN524339:NAB524339 NJJ524339:NJX524339 NTF524339:NTT524339 ODB524339:ODP524339 OMX524339:ONL524339 OWT524339:OXH524339 PGP524339:PHD524339 PQL524339:PQZ524339 QAH524339:QAV524339 QKD524339:QKR524339 QTZ524339:QUN524339 RDV524339:REJ524339 RNR524339:ROF524339 RXN524339:RYB524339 SHJ524339:SHX524339 SRF524339:SRT524339 TBB524339:TBP524339 TKX524339:TLL524339 TUT524339:TVH524339 UEP524339:UFD524339 UOL524339:UOZ524339 UYH524339:UYV524339 VID524339:VIR524339 VRZ524339:VSN524339 WBV524339:WCJ524339 WLR524339:WMF524339 WVN524339:WWB524339 F589875:T589875 JB589875:JP589875 SX589875:TL589875 ACT589875:ADH589875 AMP589875:AND589875 AWL589875:AWZ589875 BGH589875:BGV589875 BQD589875:BQR589875 BZZ589875:CAN589875 CJV589875:CKJ589875 CTR589875:CUF589875 DDN589875:DEB589875 DNJ589875:DNX589875 DXF589875:DXT589875 EHB589875:EHP589875 EQX589875:ERL589875 FAT589875:FBH589875 FKP589875:FLD589875 FUL589875:FUZ589875 GEH589875:GEV589875 GOD589875:GOR589875 GXZ589875:GYN589875 HHV589875:HIJ589875 HRR589875:HSF589875 IBN589875:ICB589875 ILJ589875:ILX589875 IVF589875:IVT589875 JFB589875:JFP589875 JOX589875:JPL589875 JYT589875:JZH589875 KIP589875:KJD589875 KSL589875:KSZ589875 LCH589875:LCV589875 LMD589875:LMR589875 LVZ589875:LWN589875 MFV589875:MGJ589875 MPR589875:MQF589875 MZN589875:NAB589875 NJJ589875:NJX589875 NTF589875:NTT589875 ODB589875:ODP589875 OMX589875:ONL589875 OWT589875:OXH589875 PGP589875:PHD589875 PQL589875:PQZ589875 QAH589875:QAV589875 QKD589875:QKR589875 QTZ589875:QUN589875 RDV589875:REJ589875 RNR589875:ROF589875 RXN589875:RYB589875 SHJ589875:SHX589875 SRF589875:SRT589875 TBB589875:TBP589875 TKX589875:TLL589875 TUT589875:TVH589875 UEP589875:UFD589875 UOL589875:UOZ589875 UYH589875:UYV589875 VID589875:VIR589875 VRZ589875:VSN589875 WBV589875:WCJ589875 WLR589875:WMF589875 WVN589875:WWB589875 F655411:T655411 JB655411:JP655411 SX655411:TL655411 ACT655411:ADH655411 AMP655411:AND655411 AWL655411:AWZ655411 BGH655411:BGV655411 BQD655411:BQR655411 BZZ655411:CAN655411 CJV655411:CKJ655411 CTR655411:CUF655411 DDN655411:DEB655411 DNJ655411:DNX655411 DXF655411:DXT655411 EHB655411:EHP655411 EQX655411:ERL655411 FAT655411:FBH655411 FKP655411:FLD655411 FUL655411:FUZ655411 GEH655411:GEV655411 GOD655411:GOR655411 GXZ655411:GYN655411 HHV655411:HIJ655411 HRR655411:HSF655411 IBN655411:ICB655411 ILJ655411:ILX655411 IVF655411:IVT655411 JFB655411:JFP655411 JOX655411:JPL655411 JYT655411:JZH655411 KIP655411:KJD655411 KSL655411:KSZ655411 LCH655411:LCV655411 LMD655411:LMR655411 LVZ655411:LWN655411 MFV655411:MGJ655411 MPR655411:MQF655411 MZN655411:NAB655411 NJJ655411:NJX655411 NTF655411:NTT655411 ODB655411:ODP655411 OMX655411:ONL655411 OWT655411:OXH655411 PGP655411:PHD655411 PQL655411:PQZ655411 QAH655411:QAV655411 QKD655411:QKR655411 QTZ655411:QUN655411 RDV655411:REJ655411 RNR655411:ROF655411 RXN655411:RYB655411 SHJ655411:SHX655411 SRF655411:SRT655411 TBB655411:TBP655411 TKX655411:TLL655411 TUT655411:TVH655411 UEP655411:UFD655411 UOL655411:UOZ655411 UYH655411:UYV655411 VID655411:VIR655411 VRZ655411:VSN655411 WBV655411:WCJ655411 WLR655411:WMF655411 WVN655411:WWB655411 F720947:T720947 JB720947:JP720947 SX720947:TL720947 ACT720947:ADH720947 AMP720947:AND720947 AWL720947:AWZ720947 BGH720947:BGV720947 BQD720947:BQR720947 BZZ720947:CAN720947 CJV720947:CKJ720947 CTR720947:CUF720947 DDN720947:DEB720947 DNJ720947:DNX720947 DXF720947:DXT720947 EHB720947:EHP720947 EQX720947:ERL720947 FAT720947:FBH720947 FKP720947:FLD720947 FUL720947:FUZ720947 GEH720947:GEV720947 GOD720947:GOR720947 GXZ720947:GYN720947 HHV720947:HIJ720947 HRR720947:HSF720947 IBN720947:ICB720947 ILJ720947:ILX720947 IVF720947:IVT720947 JFB720947:JFP720947 JOX720947:JPL720947 JYT720947:JZH720947 KIP720947:KJD720947 KSL720947:KSZ720947 LCH720947:LCV720947 LMD720947:LMR720947 LVZ720947:LWN720947 MFV720947:MGJ720947 MPR720947:MQF720947 MZN720947:NAB720947 NJJ720947:NJX720947 NTF720947:NTT720947 ODB720947:ODP720947 OMX720947:ONL720947 OWT720947:OXH720947 PGP720947:PHD720947 PQL720947:PQZ720947 QAH720947:QAV720947 QKD720947:QKR720947 QTZ720947:QUN720947 RDV720947:REJ720947 RNR720947:ROF720947 RXN720947:RYB720947 SHJ720947:SHX720947 SRF720947:SRT720947 TBB720947:TBP720947 TKX720947:TLL720947 TUT720947:TVH720947 UEP720947:UFD720947 UOL720947:UOZ720947 UYH720947:UYV720947 VID720947:VIR720947 VRZ720947:VSN720947 WBV720947:WCJ720947 WLR720947:WMF720947 WVN720947:WWB720947 F786483:T786483 JB786483:JP786483 SX786483:TL786483 ACT786483:ADH786483 AMP786483:AND786483 AWL786483:AWZ786483 BGH786483:BGV786483 BQD786483:BQR786483 BZZ786483:CAN786483 CJV786483:CKJ786483 CTR786483:CUF786483 DDN786483:DEB786483 DNJ786483:DNX786483 DXF786483:DXT786483 EHB786483:EHP786483 EQX786483:ERL786483 FAT786483:FBH786483 FKP786483:FLD786483 FUL786483:FUZ786483 GEH786483:GEV786483 GOD786483:GOR786483 GXZ786483:GYN786483 HHV786483:HIJ786483 HRR786483:HSF786483 IBN786483:ICB786483 ILJ786483:ILX786483 IVF786483:IVT786483 JFB786483:JFP786483 JOX786483:JPL786483 JYT786483:JZH786483 KIP786483:KJD786483 KSL786483:KSZ786483 LCH786483:LCV786483 LMD786483:LMR786483 LVZ786483:LWN786483 MFV786483:MGJ786483 MPR786483:MQF786483 MZN786483:NAB786483 NJJ786483:NJX786483 NTF786483:NTT786483 ODB786483:ODP786483 OMX786483:ONL786483 OWT786483:OXH786483 PGP786483:PHD786483 PQL786483:PQZ786483 QAH786483:QAV786483 QKD786483:QKR786483 QTZ786483:QUN786483 RDV786483:REJ786483 RNR786483:ROF786483 RXN786483:RYB786483 SHJ786483:SHX786483 SRF786483:SRT786483 TBB786483:TBP786483 TKX786483:TLL786483 TUT786483:TVH786483 UEP786483:UFD786483 UOL786483:UOZ786483 UYH786483:UYV786483 VID786483:VIR786483 VRZ786483:VSN786483 WBV786483:WCJ786483 WLR786483:WMF786483 WVN786483:WWB786483 F852019:T852019 JB852019:JP852019 SX852019:TL852019 ACT852019:ADH852019 AMP852019:AND852019 AWL852019:AWZ852019 BGH852019:BGV852019 BQD852019:BQR852019 BZZ852019:CAN852019 CJV852019:CKJ852019 CTR852019:CUF852019 DDN852019:DEB852019 DNJ852019:DNX852019 DXF852019:DXT852019 EHB852019:EHP852019 EQX852019:ERL852019 FAT852019:FBH852019 FKP852019:FLD852019 FUL852019:FUZ852019 GEH852019:GEV852019 GOD852019:GOR852019 GXZ852019:GYN852019 HHV852019:HIJ852019 HRR852019:HSF852019 IBN852019:ICB852019 ILJ852019:ILX852019 IVF852019:IVT852019 JFB852019:JFP852019 JOX852019:JPL852019 JYT852019:JZH852019 KIP852019:KJD852019 KSL852019:KSZ852019 LCH852019:LCV852019 LMD852019:LMR852019 LVZ852019:LWN852019 MFV852019:MGJ852019 MPR852019:MQF852019 MZN852019:NAB852019 NJJ852019:NJX852019 NTF852019:NTT852019 ODB852019:ODP852019 OMX852019:ONL852019 OWT852019:OXH852019 PGP852019:PHD852019 PQL852019:PQZ852019 QAH852019:QAV852019 QKD852019:QKR852019 QTZ852019:QUN852019 RDV852019:REJ852019 RNR852019:ROF852019 RXN852019:RYB852019 SHJ852019:SHX852019 SRF852019:SRT852019 TBB852019:TBP852019 TKX852019:TLL852019 TUT852019:TVH852019 UEP852019:UFD852019 UOL852019:UOZ852019 UYH852019:UYV852019 VID852019:VIR852019 VRZ852019:VSN852019 WBV852019:WCJ852019 WLR852019:WMF852019 WVN852019:WWB852019 F917555:T917555 JB917555:JP917555 SX917555:TL917555 ACT917555:ADH917555 AMP917555:AND917555 AWL917555:AWZ917555 BGH917555:BGV917555 BQD917555:BQR917555 BZZ917555:CAN917555 CJV917555:CKJ917555 CTR917555:CUF917555 DDN917555:DEB917555 DNJ917555:DNX917555 DXF917555:DXT917555 EHB917555:EHP917555 EQX917555:ERL917555 FAT917555:FBH917555 FKP917555:FLD917555 FUL917555:FUZ917555 GEH917555:GEV917555 GOD917555:GOR917555 GXZ917555:GYN917555 HHV917555:HIJ917555 HRR917555:HSF917555 IBN917555:ICB917555 ILJ917555:ILX917555 IVF917555:IVT917555 JFB917555:JFP917555 JOX917555:JPL917555 JYT917555:JZH917555 KIP917555:KJD917555 KSL917555:KSZ917555 LCH917555:LCV917555 LMD917555:LMR917555 LVZ917555:LWN917555 MFV917555:MGJ917555 MPR917555:MQF917555 MZN917555:NAB917555 NJJ917555:NJX917555 NTF917555:NTT917555 ODB917555:ODP917555 OMX917555:ONL917555 OWT917555:OXH917555 PGP917555:PHD917555 PQL917555:PQZ917555 QAH917555:QAV917555 QKD917555:QKR917555 QTZ917555:QUN917555 RDV917555:REJ917555 RNR917555:ROF917555 RXN917555:RYB917555 SHJ917555:SHX917555 SRF917555:SRT917555 TBB917555:TBP917555 TKX917555:TLL917555 TUT917555:TVH917555 UEP917555:UFD917555 UOL917555:UOZ917555 UYH917555:UYV917555 VID917555:VIR917555 VRZ917555:VSN917555 WBV917555:WCJ917555 WLR917555:WMF917555 WVN917555:WWB917555 F983091:T983091 JB983091:JP983091 SX983091:TL983091 ACT983091:ADH983091 AMP983091:AND983091 AWL983091:AWZ983091 BGH983091:BGV983091 BQD983091:BQR983091 BZZ983091:CAN983091 CJV983091:CKJ983091 CTR983091:CUF983091 DDN983091:DEB983091 DNJ983091:DNX983091 DXF983091:DXT983091 EHB983091:EHP983091 EQX983091:ERL983091 FAT983091:FBH983091 FKP983091:FLD983091 FUL983091:FUZ983091 GEH983091:GEV983091 GOD983091:GOR983091 GXZ983091:GYN983091 HHV983091:HIJ983091 HRR983091:HSF983091 IBN983091:ICB983091 ILJ983091:ILX983091 IVF983091:IVT983091 JFB983091:JFP983091 JOX983091:JPL983091 JYT983091:JZH983091 KIP983091:KJD983091 KSL983091:KSZ983091 LCH983091:LCV983091 LMD983091:LMR983091 LVZ983091:LWN983091 MFV983091:MGJ983091 MPR983091:MQF983091 MZN983091:NAB983091 NJJ983091:NJX983091 NTF983091:NTT983091 ODB983091:ODP983091 OMX983091:ONL983091 OWT983091:OXH983091 PGP983091:PHD983091 PQL983091:PQZ983091 QAH983091:QAV983091 QKD983091:QKR983091 QTZ983091:QUN983091 RDV983091:REJ983091 RNR983091:ROF983091 RXN983091:RYB983091 SHJ983091:SHX983091 SRF983091:SRT983091 TBB983091:TBP983091 TKX983091:TLL983091 TUT983091:TVH983091 UEP983091:UFD983091 UOL983091:UOZ983091 UYH983091:UYV983091 VID983091:VIR983091 VRZ983091:VSN983091 WBV983091:WCJ983091 WLR983091:WMF983091 F51:Q51" xr:uid="{00000000-0002-0000-0100-000000000000}">
      <formula1>"N,A,B, "</formula1>
    </dataValidation>
    <dataValidation type="list" allowBlank="1" showInputMessage="1" showErrorMessage="1" sqref="WVN983092:WWB983092 IY52:JM52 SU52:TI52 ACQ52:ADE52 AMM52:ANA52 AWI52:AWW52 BGE52:BGS52 BQA52:BQO52 BZW52:CAK52 CJS52:CKG52 CTO52:CUC52 DDK52:DDY52 DNG52:DNU52 DXC52:DXQ52 EGY52:EHM52 EQU52:ERI52 FAQ52:FBE52 FKM52:FLA52 FUI52:FUW52 GEE52:GES52 GOA52:GOO52 GXW52:GYK52 HHS52:HIG52 HRO52:HSC52 IBK52:IBY52 ILG52:ILU52 IVC52:IVQ52 JEY52:JFM52 JOU52:JPI52 JYQ52:JZE52 KIM52:KJA52 KSI52:KSW52 LCE52:LCS52 LMA52:LMO52 LVW52:LWK52 MFS52:MGG52 MPO52:MQC52 MZK52:MZY52 NJG52:NJU52 NTC52:NTQ52 OCY52:ODM52 OMU52:ONI52 OWQ52:OXE52 PGM52:PHA52 PQI52:PQW52 QAE52:QAS52 QKA52:QKO52 QTW52:QUK52 RDS52:REG52 RNO52:ROC52 RXK52:RXY52 SHG52:SHU52 SRC52:SRQ52 TAY52:TBM52 TKU52:TLI52 TUQ52:TVE52 UEM52:UFA52 UOI52:UOW52 UYE52:UYS52 VIA52:VIO52 VRW52:VSK52 WBS52:WCG52 WLO52:WMC52 WVK52:WVY52 F65588:T65588 JB65588:JP65588 SX65588:TL65588 ACT65588:ADH65588 AMP65588:AND65588 AWL65588:AWZ65588 BGH65588:BGV65588 BQD65588:BQR65588 BZZ65588:CAN65588 CJV65588:CKJ65588 CTR65588:CUF65588 DDN65588:DEB65588 DNJ65588:DNX65588 DXF65588:DXT65588 EHB65588:EHP65588 EQX65588:ERL65588 FAT65588:FBH65588 FKP65588:FLD65588 FUL65588:FUZ65588 GEH65588:GEV65588 GOD65588:GOR65588 GXZ65588:GYN65588 HHV65588:HIJ65588 HRR65588:HSF65588 IBN65588:ICB65588 ILJ65588:ILX65588 IVF65588:IVT65588 JFB65588:JFP65588 JOX65588:JPL65588 JYT65588:JZH65588 KIP65588:KJD65588 KSL65588:KSZ65588 LCH65588:LCV65588 LMD65588:LMR65588 LVZ65588:LWN65588 MFV65588:MGJ65588 MPR65588:MQF65588 MZN65588:NAB65588 NJJ65588:NJX65588 NTF65588:NTT65588 ODB65588:ODP65588 OMX65588:ONL65588 OWT65588:OXH65588 PGP65588:PHD65588 PQL65588:PQZ65588 QAH65588:QAV65588 QKD65588:QKR65588 QTZ65588:QUN65588 RDV65588:REJ65588 RNR65588:ROF65588 RXN65588:RYB65588 SHJ65588:SHX65588 SRF65588:SRT65588 TBB65588:TBP65588 TKX65588:TLL65588 TUT65588:TVH65588 UEP65588:UFD65588 UOL65588:UOZ65588 UYH65588:UYV65588 VID65588:VIR65588 VRZ65588:VSN65588 WBV65588:WCJ65588 WLR65588:WMF65588 WVN65588:WWB65588 F131124:T131124 JB131124:JP131124 SX131124:TL131124 ACT131124:ADH131124 AMP131124:AND131124 AWL131124:AWZ131124 BGH131124:BGV131124 BQD131124:BQR131124 BZZ131124:CAN131124 CJV131124:CKJ131124 CTR131124:CUF131124 DDN131124:DEB131124 DNJ131124:DNX131124 DXF131124:DXT131124 EHB131124:EHP131124 EQX131124:ERL131124 FAT131124:FBH131124 FKP131124:FLD131124 FUL131124:FUZ131124 GEH131124:GEV131124 GOD131124:GOR131124 GXZ131124:GYN131124 HHV131124:HIJ131124 HRR131124:HSF131124 IBN131124:ICB131124 ILJ131124:ILX131124 IVF131124:IVT131124 JFB131124:JFP131124 JOX131124:JPL131124 JYT131124:JZH131124 KIP131124:KJD131124 KSL131124:KSZ131124 LCH131124:LCV131124 LMD131124:LMR131124 LVZ131124:LWN131124 MFV131124:MGJ131124 MPR131124:MQF131124 MZN131124:NAB131124 NJJ131124:NJX131124 NTF131124:NTT131124 ODB131124:ODP131124 OMX131124:ONL131124 OWT131124:OXH131124 PGP131124:PHD131124 PQL131124:PQZ131124 QAH131124:QAV131124 QKD131124:QKR131124 QTZ131124:QUN131124 RDV131124:REJ131124 RNR131124:ROF131124 RXN131124:RYB131124 SHJ131124:SHX131124 SRF131124:SRT131124 TBB131124:TBP131124 TKX131124:TLL131124 TUT131124:TVH131124 UEP131124:UFD131124 UOL131124:UOZ131124 UYH131124:UYV131124 VID131124:VIR131124 VRZ131124:VSN131124 WBV131124:WCJ131124 WLR131124:WMF131124 WVN131124:WWB131124 F196660:T196660 JB196660:JP196660 SX196660:TL196660 ACT196660:ADH196660 AMP196660:AND196660 AWL196660:AWZ196660 BGH196660:BGV196660 BQD196660:BQR196660 BZZ196660:CAN196660 CJV196660:CKJ196660 CTR196660:CUF196660 DDN196660:DEB196660 DNJ196660:DNX196660 DXF196660:DXT196660 EHB196660:EHP196660 EQX196660:ERL196660 FAT196660:FBH196660 FKP196660:FLD196660 FUL196660:FUZ196660 GEH196660:GEV196660 GOD196660:GOR196660 GXZ196660:GYN196660 HHV196660:HIJ196660 HRR196660:HSF196660 IBN196660:ICB196660 ILJ196660:ILX196660 IVF196660:IVT196660 JFB196660:JFP196660 JOX196660:JPL196660 JYT196660:JZH196660 KIP196660:KJD196660 KSL196660:KSZ196660 LCH196660:LCV196660 LMD196660:LMR196660 LVZ196660:LWN196660 MFV196660:MGJ196660 MPR196660:MQF196660 MZN196660:NAB196660 NJJ196660:NJX196660 NTF196660:NTT196660 ODB196660:ODP196660 OMX196660:ONL196660 OWT196660:OXH196660 PGP196660:PHD196660 PQL196660:PQZ196660 QAH196660:QAV196660 QKD196660:QKR196660 QTZ196660:QUN196660 RDV196660:REJ196660 RNR196660:ROF196660 RXN196660:RYB196660 SHJ196660:SHX196660 SRF196660:SRT196660 TBB196660:TBP196660 TKX196660:TLL196660 TUT196660:TVH196660 UEP196660:UFD196660 UOL196660:UOZ196660 UYH196660:UYV196660 VID196660:VIR196660 VRZ196660:VSN196660 WBV196660:WCJ196660 WLR196660:WMF196660 WVN196660:WWB196660 F262196:T262196 JB262196:JP262196 SX262196:TL262196 ACT262196:ADH262196 AMP262196:AND262196 AWL262196:AWZ262196 BGH262196:BGV262196 BQD262196:BQR262196 BZZ262196:CAN262196 CJV262196:CKJ262196 CTR262196:CUF262196 DDN262196:DEB262196 DNJ262196:DNX262196 DXF262196:DXT262196 EHB262196:EHP262196 EQX262196:ERL262196 FAT262196:FBH262196 FKP262196:FLD262196 FUL262196:FUZ262196 GEH262196:GEV262196 GOD262196:GOR262196 GXZ262196:GYN262196 HHV262196:HIJ262196 HRR262196:HSF262196 IBN262196:ICB262196 ILJ262196:ILX262196 IVF262196:IVT262196 JFB262196:JFP262196 JOX262196:JPL262196 JYT262196:JZH262196 KIP262196:KJD262196 KSL262196:KSZ262196 LCH262196:LCV262196 LMD262196:LMR262196 LVZ262196:LWN262196 MFV262196:MGJ262196 MPR262196:MQF262196 MZN262196:NAB262196 NJJ262196:NJX262196 NTF262196:NTT262196 ODB262196:ODP262196 OMX262196:ONL262196 OWT262196:OXH262196 PGP262196:PHD262196 PQL262196:PQZ262196 QAH262196:QAV262196 QKD262196:QKR262196 QTZ262196:QUN262196 RDV262196:REJ262196 RNR262196:ROF262196 RXN262196:RYB262196 SHJ262196:SHX262196 SRF262196:SRT262196 TBB262196:TBP262196 TKX262196:TLL262196 TUT262196:TVH262196 UEP262196:UFD262196 UOL262196:UOZ262196 UYH262196:UYV262196 VID262196:VIR262196 VRZ262196:VSN262196 WBV262196:WCJ262196 WLR262196:WMF262196 WVN262196:WWB262196 F327732:T327732 JB327732:JP327732 SX327732:TL327732 ACT327732:ADH327732 AMP327732:AND327732 AWL327732:AWZ327732 BGH327732:BGV327732 BQD327732:BQR327732 BZZ327732:CAN327732 CJV327732:CKJ327732 CTR327732:CUF327732 DDN327732:DEB327732 DNJ327732:DNX327732 DXF327732:DXT327732 EHB327732:EHP327732 EQX327732:ERL327732 FAT327732:FBH327732 FKP327732:FLD327732 FUL327732:FUZ327732 GEH327732:GEV327732 GOD327732:GOR327732 GXZ327732:GYN327732 HHV327732:HIJ327732 HRR327732:HSF327732 IBN327732:ICB327732 ILJ327732:ILX327732 IVF327732:IVT327732 JFB327732:JFP327732 JOX327732:JPL327732 JYT327732:JZH327732 KIP327732:KJD327732 KSL327732:KSZ327732 LCH327732:LCV327732 LMD327732:LMR327732 LVZ327732:LWN327732 MFV327732:MGJ327732 MPR327732:MQF327732 MZN327732:NAB327732 NJJ327732:NJX327732 NTF327732:NTT327732 ODB327732:ODP327732 OMX327732:ONL327732 OWT327732:OXH327732 PGP327732:PHD327732 PQL327732:PQZ327732 QAH327732:QAV327732 QKD327732:QKR327732 QTZ327732:QUN327732 RDV327732:REJ327732 RNR327732:ROF327732 RXN327732:RYB327732 SHJ327732:SHX327732 SRF327732:SRT327732 TBB327732:TBP327732 TKX327732:TLL327732 TUT327732:TVH327732 UEP327732:UFD327732 UOL327732:UOZ327732 UYH327732:UYV327732 VID327732:VIR327732 VRZ327732:VSN327732 WBV327732:WCJ327732 WLR327732:WMF327732 WVN327732:WWB327732 F393268:T393268 JB393268:JP393268 SX393268:TL393268 ACT393268:ADH393268 AMP393268:AND393268 AWL393268:AWZ393268 BGH393268:BGV393268 BQD393268:BQR393268 BZZ393268:CAN393268 CJV393268:CKJ393268 CTR393268:CUF393268 DDN393268:DEB393268 DNJ393268:DNX393268 DXF393268:DXT393268 EHB393268:EHP393268 EQX393268:ERL393268 FAT393268:FBH393268 FKP393268:FLD393268 FUL393268:FUZ393268 GEH393268:GEV393268 GOD393268:GOR393268 GXZ393268:GYN393268 HHV393268:HIJ393268 HRR393268:HSF393268 IBN393268:ICB393268 ILJ393268:ILX393268 IVF393268:IVT393268 JFB393268:JFP393268 JOX393268:JPL393268 JYT393268:JZH393268 KIP393268:KJD393268 KSL393268:KSZ393268 LCH393268:LCV393268 LMD393268:LMR393268 LVZ393268:LWN393268 MFV393268:MGJ393268 MPR393268:MQF393268 MZN393268:NAB393268 NJJ393268:NJX393268 NTF393268:NTT393268 ODB393268:ODP393268 OMX393268:ONL393268 OWT393268:OXH393268 PGP393268:PHD393268 PQL393268:PQZ393268 QAH393268:QAV393268 QKD393268:QKR393268 QTZ393268:QUN393268 RDV393268:REJ393268 RNR393268:ROF393268 RXN393268:RYB393268 SHJ393268:SHX393268 SRF393268:SRT393268 TBB393268:TBP393268 TKX393268:TLL393268 TUT393268:TVH393268 UEP393268:UFD393268 UOL393268:UOZ393268 UYH393268:UYV393268 VID393268:VIR393268 VRZ393268:VSN393268 WBV393268:WCJ393268 WLR393268:WMF393268 WVN393268:WWB393268 F458804:T458804 JB458804:JP458804 SX458804:TL458804 ACT458804:ADH458804 AMP458804:AND458804 AWL458804:AWZ458804 BGH458804:BGV458804 BQD458804:BQR458804 BZZ458804:CAN458804 CJV458804:CKJ458804 CTR458804:CUF458804 DDN458804:DEB458804 DNJ458804:DNX458804 DXF458804:DXT458804 EHB458804:EHP458804 EQX458804:ERL458804 FAT458804:FBH458804 FKP458804:FLD458804 FUL458804:FUZ458804 GEH458804:GEV458804 GOD458804:GOR458804 GXZ458804:GYN458804 HHV458804:HIJ458804 HRR458804:HSF458804 IBN458804:ICB458804 ILJ458804:ILX458804 IVF458804:IVT458804 JFB458804:JFP458804 JOX458804:JPL458804 JYT458804:JZH458804 KIP458804:KJD458804 KSL458804:KSZ458804 LCH458804:LCV458804 LMD458804:LMR458804 LVZ458804:LWN458804 MFV458804:MGJ458804 MPR458804:MQF458804 MZN458804:NAB458804 NJJ458804:NJX458804 NTF458804:NTT458804 ODB458804:ODP458804 OMX458804:ONL458804 OWT458804:OXH458804 PGP458804:PHD458804 PQL458804:PQZ458804 QAH458804:QAV458804 QKD458804:QKR458804 QTZ458804:QUN458804 RDV458804:REJ458804 RNR458804:ROF458804 RXN458804:RYB458804 SHJ458804:SHX458804 SRF458804:SRT458804 TBB458804:TBP458804 TKX458804:TLL458804 TUT458804:TVH458804 UEP458804:UFD458804 UOL458804:UOZ458804 UYH458804:UYV458804 VID458804:VIR458804 VRZ458804:VSN458804 WBV458804:WCJ458804 WLR458804:WMF458804 WVN458804:WWB458804 F524340:T524340 JB524340:JP524340 SX524340:TL524340 ACT524340:ADH524340 AMP524340:AND524340 AWL524340:AWZ524340 BGH524340:BGV524340 BQD524340:BQR524340 BZZ524340:CAN524340 CJV524340:CKJ524340 CTR524340:CUF524340 DDN524340:DEB524340 DNJ524340:DNX524340 DXF524340:DXT524340 EHB524340:EHP524340 EQX524340:ERL524340 FAT524340:FBH524340 FKP524340:FLD524340 FUL524340:FUZ524340 GEH524340:GEV524340 GOD524340:GOR524340 GXZ524340:GYN524340 HHV524340:HIJ524340 HRR524340:HSF524340 IBN524340:ICB524340 ILJ524340:ILX524340 IVF524340:IVT524340 JFB524340:JFP524340 JOX524340:JPL524340 JYT524340:JZH524340 KIP524340:KJD524340 KSL524340:KSZ524340 LCH524340:LCV524340 LMD524340:LMR524340 LVZ524340:LWN524340 MFV524340:MGJ524340 MPR524340:MQF524340 MZN524340:NAB524340 NJJ524340:NJX524340 NTF524340:NTT524340 ODB524340:ODP524340 OMX524340:ONL524340 OWT524340:OXH524340 PGP524340:PHD524340 PQL524340:PQZ524340 QAH524340:QAV524340 QKD524340:QKR524340 QTZ524340:QUN524340 RDV524340:REJ524340 RNR524340:ROF524340 RXN524340:RYB524340 SHJ524340:SHX524340 SRF524340:SRT524340 TBB524340:TBP524340 TKX524340:TLL524340 TUT524340:TVH524340 UEP524340:UFD524340 UOL524340:UOZ524340 UYH524340:UYV524340 VID524340:VIR524340 VRZ524340:VSN524340 WBV524340:WCJ524340 WLR524340:WMF524340 WVN524340:WWB524340 F589876:T589876 JB589876:JP589876 SX589876:TL589876 ACT589876:ADH589876 AMP589876:AND589876 AWL589876:AWZ589876 BGH589876:BGV589876 BQD589876:BQR589876 BZZ589876:CAN589876 CJV589876:CKJ589876 CTR589876:CUF589876 DDN589876:DEB589876 DNJ589876:DNX589876 DXF589876:DXT589876 EHB589876:EHP589876 EQX589876:ERL589876 FAT589876:FBH589876 FKP589876:FLD589876 FUL589876:FUZ589876 GEH589876:GEV589876 GOD589876:GOR589876 GXZ589876:GYN589876 HHV589876:HIJ589876 HRR589876:HSF589876 IBN589876:ICB589876 ILJ589876:ILX589876 IVF589876:IVT589876 JFB589876:JFP589876 JOX589876:JPL589876 JYT589876:JZH589876 KIP589876:KJD589876 KSL589876:KSZ589876 LCH589876:LCV589876 LMD589876:LMR589876 LVZ589876:LWN589876 MFV589876:MGJ589876 MPR589876:MQF589876 MZN589876:NAB589876 NJJ589876:NJX589876 NTF589876:NTT589876 ODB589876:ODP589876 OMX589876:ONL589876 OWT589876:OXH589876 PGP589876:PHD589876 PQL589876:PQZ589876 QAH589876:QAV589876 QKD589876:QKR589876 QTZ589876:QUN589876 RDV589876:REJ589876 RNR589876:ROF589876 RXN589876:RYB589876 SHJ589876:SHX589876 SRF589876:SRT589876 TBB589876:TBP589876 TKX589876:TLL589876 TUT589876:TVH589876 UEP589876:UFD589876 UOL589876:UOZ589876 UYH589876:UYV589876 VID589876:VIR589876 VRZ589876:VSN589876 WBV589876:WCJ589876 WLR589876:WMF589876 WVN589876:WWB589876 F655412:T655412 JB655412:JP655412 SX655412:TL655412 ACT655412:ADH655412 AMP655412:AND655412 AWL655412:AWZ655412 BGH655412:BGV655412 BQD655412:BQR655412 BZZ655412:CAN655412 CJV655412:CKJ655412 CTR655412:CUF655412 DDN655412:DEB655412 DNJ655412:DNX655412 DXF655412:DXT655412 EHB655412:EHP655412 EQX655412:ERL655412 FAT655412:FBH655412 FKP655412:FLD655412 FUL655412:FUZ655412 GEH655412:GEV655412 GOD655412:GOR655412 GXZ655412:GYN655412 HHV655412:HIJ655412 HRR655412:HSF655412 IBN655412:ICB655412 ILJ655412:ILX655412 IVF655412:IVT655412 JFB655412:JFP655412 JOX655412:JPL655412 JYT655412:JZH655412 KIP655412:KJD655412 KSL655412:KSZ655412 LCH655412:LCV655412 LMD655412:LMR655412 LVZ655412:LWN655412 MFV655412:MGJ655412 MPR655412:MQF655412 MZN655412:NAB655412 NJJ655412:NJX655412 NTF655412:NTT655412 ODB655412:ODP655412 OMX655412:ONL655412 OWT655412:OXH655412 PGP655412:PHD655412 PQL655412:PQZ655412 QAH655412:QAV655412 QKD655412:QKR655412 QTZ655412:QUN655412 RDV655412:REJ655412 RNR655412:ROF655412 RXN655412:RYB655412 SHJ655412:SHX655412 SRF655412:SRT655412 TBB655412:TBP655412 TKX655412:TLL655412 TUT655412:TVH655412 UEP655412:UFD655412 UOL655412:UOZ655412 UYH655412:UYV655412 VID655412:VIR655412 VRZ655412:VSN655412 WBV655412:WCJ655412 WLR655412:WMF655412 WVN655412:WWB655412 F720948:T720948 JB720948:JP720948 SX720948:TL720948 ACT720948:ADH720948 AMP720948:AND720948 AWL720948:AWZ720948 BGH720948:BGV720948 BQD720948:BQR720948 BZZ720948:CAN720948 CJV720948:CKJ720948 CTR720948:CUF720948 DDN720948:DEB720948 DNJ720948:DNX720948 DXF720948:DXT720948 EHB720948:EHP720948 EQX720948:ERL720948 FAT720948:FBH720948 FKP720948:FLD720948 FUL720948:FUZ720948 GEH720948:GEV720948 GOD720948:GOR720948 GXZ720948:GYN720948 HHV720948:HIJ720948 HRR720948:HSF720948 IBN720948:ICB720948 ILJ720948:ILX720948 IVF720948:IVT720948 JFB720948:JFP720948 JOX720948:JPL720948 JYT720948:JZH720948 KIP720948:KJD720948 KSL720948:KSZ720948 LCH720948:LCV720948 LMD720948:LMR720948 LVZ720948:LWN720948 MFV720948:MGJ720948 MPR720948:MQF720948 MZN720948:NAB720948 NJJ720948:NJX720948 NTF720948:NTT720948 ODB720948:ODP720948 OMX720948:ONL720948 OWT720948:OXH720948 PGP720948:PHD720948 PQL720948:PQZ720948 QAH720948:QAV720948 QKD720948:QKR720948 QTZ720948:QUN720948 RDV720948:REJ720948 RNR720948:ROF720948 RXN720948:RYB720948 SHJ720948:SHX720948 SRF720948:SRT720948 TBB720948:TBP720948 TKX720948:TLL720948 TUT720948:TVH720948 UEP720948:UFD720948 UOL720948:UOZ720948 UYH720948:UYV720948 VID720948:VIR720948 VRZ720948:VSN720948 WBV720948:WCJ720948 WLR720948:WMF720948 WVN720948:WWB720948 F786484:T786484 JB786484:JP786484 SX786484:TL786484 ACT786484:ADH786484 AMP786484:AND786484 AWL786484:AWZ786484 BGH786484:BGV786484 BQD786484:BQR786484 BZZ786484:CAN786484 CJV786484:CKJ786484 CTR786484:CUF786484 DDN786484:DEB786484 DNJ786484:DNX786484 DXF786484:DXT786484 EHB786484:EHP786484 EQX786484:ERL786484 FAT786484:FBH786484 FKP786484:FLD786484 FUL786484:FUZ786484 GEH786484:GEV786484 GOD786484:GOR786484 GXZ786484:GYN786484 HHV786484:HIJ786484 HRR786484:HSF786484 IBN786484:ICB786484 ILJ786484:ILX786484 IVF786484:IVT786484 JFB786484:JFP786484 JOX786484:JPL786484 JYT786484:JZH786484 KIP786484:KJD786484 KSL786484:KSZ786484 LCH786484:LCV786484 LMD786484:LMR786484 LVZ786484:LWN786484 MFV786484:MGJ786484 MPR786484:MQF786484 MZN786484:NAB786484 NJJ786484:NJX786484 NTF786484:NTT786484 ODB786484:ODP786484 OMX786484:ONL786484 OWT786484:OXH786484 PGP786484:PHD786484 PQL786484:PQZ786484 QAH786484:QAV786484 QKD786484:QKR786484 QTZ786484:QUN786484 RDV786484:REJ786484 RNR786484:ROF786484 RXN786484:RYB786484 SHJ786484:SHX786484 SRF786484:SRT786484 TBB786484:TBP786484 TKX786484:TLL786484 TUT786484:TVH786484 UEP786484:UFD786484 UOL786484:UOZ786484 UYH786484:UYV786484 VID786484:VIR786484 VRZ786484:VSN786484 WBV786484:WCJ786484 WLR786484:WMF786484 WVN786484:WWB786484 F852020:T852020 JB852020:JP852020 SX852020:TL852020 ACT852020:ADH852020 AMP852020:AND852020 AWL852020:AWZ852020 BGH852020:BGV852020 BQD852020:BQR852020 BZZ852020:CAN852020 CJV852020:CKJ852020 CTR852020:CUF852020 DDN852020:DEB852020 DNJ852020:DNX852020 DXF852020:DXT852020 EHB852020:EHP852020 EQX852020:ERL852020 FAT852020:FBH852020 FKP852020:FLD852020 FUL852020:FUZ852020 GEH852020:GEV852020 GOD852020:GOR852020 GXZ852020:GYN852020 HHV852020:HIJ852020 HRR852020:HSF852020 IBN852020:ICB852020 ILJ852020:ILX852020 IVF852020:IVT852020 JFB852020:JFP852020 JOX852020:JPL852020 JYT852020:JZH852020 KIP852020:KJD852020 KSL852020:KSZ852020 LCH852020:LCV852020 LMD852020:LMR852020 LVZ852020:LWN852020 MFV852020:MGJ852020 MPR852020:MQF852020 MZN852020:NAB852020 NJJ852020:NJX852020 NTF852020:NTT852020 ODB852020:ODP852020 OMX852020:ONL852020 OWT852020:OXH852020 PGP852020:PHD852020 PQL852020:PQZ852020 QAH852020:QAV852020 QKD852020:QKR852020 QTZ852020:QUN852020 RDV852020:REJ852020 RNR852020:ROF852020 RXN852020:RYB852020 SHJ852020:SHX852020 SRF852020:SRT852020 TBB852020:TBP852020 TKX852020:TLL852020 TUT852020:TVH852020 UEP852020:UFD852020 UOL852020:UOZ852020 UYH852020:UYV852020 VID852020:VIR852020 VRZ852020:VSN852020 WBV852020:WCJ852020 WLR852020:WMF852020 WVN852020:WWB852020 F917556:T917556 JB917556:JP917556 SX917556:TL917556 ACT917556:ADH917556 AMP917556:AND917556 AWL917556:AWZ917556 BGH917556:BGV917556 BQD917556:BQR917556 BZZ917556:CAN917556 CJV917556:CKJ917556 CTR917556:CUF917556 DDN917556:DEB917556 DNJ917556:DNX917556 DXF917556:DXT917556 EHB917556:EHP917556 EQX917556:ERL917556 FAT917556:FBH917556 FKP917556:FLD917556 FUL917556:FUZ917556 GEH917556:GEV917556 GOD917556:GOR917556 GXZ917556:GYN917556 HHV917556:HIJ917556 HRR917556:HSF917556 IBN917556:ICB917556 ILJ917556:ILX917556 IVF917556:IVT917556 JFB917556:JFP917556 JOX917556:JPL917556 JYT917556:JZH917556 KIP917556:KJD917556 KSL917556:KSZ917556 LCH917556:LCV917556 LMD917556:LMR917556 LVZ917556:LWN917556 MFV917556:MGJ917556 MPR917556:MQF917556 MZN917556:NAB917556 NJJ917556:NJX917556 NTF917556:NTT917556 ODB917556:ODP917556 OMX917556:ONL917556 OWT917556:OXH917556 PGP917556:PHD917556 PQL917556:PQZ917556 QAH917556:QAV917556 QKD917556:QKR917556 QTZ917556:QUN917556 RDV917556:REJ917556 RNR917556:ROF917556 RXN917556:RYB917556 SHJ917556:SHX917556 SRF917556:SRT917556 TBB917556:TBP917556 TKX917556:TLL917556 TUT917556:TVH917556 UEP917556:UFD917556 UOL917556:UOZ917556 UYH917556:UYV917556 VID917556:VIR917556 VRZ917556:VSN917556 WBV917556:WCJ917556 WLR917556:WMF917556 WVN917556:WWB917556 F983092:T983092 JB983092:JP983092 SX983092:TL983092 ACT983092:ADH983092 AMP983092:AND983092 AWL983092:AWZ983092 BGH983092:BGV983092 BQD983092:BQR983092 BZZ983092:CAN983092 CJV983092:CKJ983092 CTR983092:CUF983092 DDN983092:DEB983092 DNJ983092:DNX983092 DXF983092:DXT983092 EHB983092:EHP983092 EQX983092:ERL983092 FAT983092:FBH983092 FKP983092:FLD983092 FUL983092:FUZ983092 GEH983092:GEV983092 GOD983092:GOR983092 GXZ983092:GYN983092 HHV983092:HIJ983092 HRR983092:HSF983092 IBN983092:ICB983092 ILJ983092:ILX983092 IVF983092:IVT983092 JFB983092:JFP983092 JOX983092:JPL983092 JYT983092:JZH983092 KIP983092:KJD983092 KSL983092:KSZ983092 LCH983092:LCV983092 LMD983092:LMR983092 LVZ983092:LWN983092 MFV983092:MGJ983092 MPR983092:MQF983092 MZN983092:NAB983092 NJJ983092:NJX983092 NTF983092:NTT983092 ODB983092:ODP983092 OMX983092:ONL983092 OWT983092:OXH983092 PGP983092:PHD983092 PQL983092:PQZ983092 QAH983092:QAV983092 QKD983092:QKR983092 QTZ983092:QUN983092 RDV983092:REJ983092 RNR983092:ROF983092 RXN983092:RYB983092 SHJ983092:SHX983092 SRF983092:SRT983092 TBB983092:TBP983092 TKX983092:TLL983092 TUT983092:TVH983092 UEP983092:UFD983092 UOL983092:UOZ983092 UYH983092:UYV983092 VID983092:VIR983092 VRZ983092:VSN983092 WBV983092:WCJ983092 WLR983092:WMF983092 F52:Q52" xr:uid="{00000000-0002-0000-0100-000001000000}">
      <formula1>"P,F, "</formula1>
    </dataValidation>
    <dataValidation type="list" allowBlank="1" showInputMessage="1" showErrorMessage="1" sqref="WVN983062:WWB983090 F65558:T65586 JB65558:JP65586 SX65558:TL65586 ACT65558:ADH65586 AMP65558:AND65586 AWL65558:AWZ65586 BGH65558:BGV65586 BQD65558:BQR65586 BZZ65558:CAN65586 CJV65558:CKJ65586 CTR65558:CUF65586 DDN65558:DEB65586 DNJ65558:DNX65586 DXF65558:DXT65586 EHB65558:EHP65586 EQX65558:ERL65586 FAT65558:FBH65586 FKP65558:FLD65586 FUL65558:FUZ65586 GEH65558:GEV65586 GOD65558:GOR65586 GXZ65558:GYN65586 HHV65558:HIJ65586 HRR65558:HSF65586 IBN65558:ICB65586 ILJ65558:ILX65586 IVF65558:IVT65586 JFB65558:JFP65586 JOX65558:JPL65586 JYT65558:JZH65586 KIP65558:KJD65586 KSL65558:KSZ65586 LCH65558:LCV65586 LMD65558:LMR65586 LVZ65558:LWN65586 MFV65558:MGJ65586 MPR65558:MQF65586 MZN65558:NAB65586 NJJ65558:NJX65586 NTF65558:NTT65586 ODB65558:ODP65586 OMX65558:ONL65586 OWT65558:OXH65586 PGP65558:PHD65586 PQL65558:PQZ65586 QAH65558:QAV65586 QKD65558:QKR65586 QTZ65558:QUN65586 RDV65558:REJ65586 RNR65558:ROF65586 RXN65558:RYB65586 SHJ65558:SHX65586 SRF65558:SRT65586 TBB65558:TBP65586 TKX65558:TLL65586 TUT65558:TVH65586 UEP65558:UFD65586 UOL65558:UOZ65586 UYH65558:UYV65586 VID65558:VIR65586 VRZ65558:VSN65586 WBV65558:WCJ65586 WLR65558:WMF65586 WVN65558:WWB65586 F131094:T131122 JB131094:JP131122 SX131094:TL131122 ACT131094:ADH131122 AMP131094:AND131122 AWL131094:AWZ131122 BGH131094:BGV131122 BQD131094:BQR131122 BZZ131094:CAN131122 CJV131094:CKJ131122 CTR131094:CUF131122 DDN131094:DEB131122 DNJ131094:DNX131122 DXF131094:DXT131122 EHB131094:EHP131122 EQX131094:ERL131122 FAT131094:FBH131122 FKP131094:FLD131122 FUL131094:FUZ131122 GEH131094:GEV131122 GOD131094:GOR131122 GXZ131094:GYN131122 HHV131094:HIJ131122 HRR131094:HSF131122 IBN131094:ICB131122 ILJ131094:ILX131122 IVF131094:IVT131122 JFB131094:JFP131122 JOX131094:JPL131122 JYT131094:JZH131122 KIP131094:KJD131122 KSL131094:KSZ131122 LCH131094:LCV131122 LMD131094:LMR131122 LVZ131094:LWN131122 MFV131094:MGJ131122 MPR131094:MQF131122 MZN131094:NAB131122 NJJ131094:NJX131122 NTF131094:NTT131122 ODB131094:ODP131122 OMX131094:ONL131122 OWT131094:OXH131122 PGP131094:PHD131122 PQL131094:PQZ131122 QAH131094:QAV131122 QKD131094:QKR131122 QTZ131094:QUN131122 RDV131094:REJ131122 RNR131094:ROF131122 RXN131094:RYB131122 SHJ131094:SHX131122 SRF131094:SRT131122 TBB131094:TBP131122 TKX131094:TLL131122 TUT131094:TVH131122 UEP131094:UFD131122 UOL131094:UOZ131122 UYH131094:UYV131122 VID131094:VIR131122 VRZ131094:VSN131122 WBV131094:WCJ131122 WLR131094:WMF131122 WVN131094:WWB131122 F196630:T196658 JB196630:JP196658 SX196630:TL196658 ACT196630:ADH196658 AMP196630:AND196658 AWL196630:AWZ196658 BGH196630:BGV196658 BQD196630:BQR196658 BZZ196630:CAN196658 CJV196630:CKJ196658 CTR196630:CUF196658 DDN196630:DEB196658 DNJ196630:DNX196658 DXF196630:DXT196658 EHB196630:EHP196658 EQX196630:ERL196658 FAT196630:FBH196658 FKP196630:FLD196658 FUL196630:FUZ196658 GEH196630:GEV196658 GOD196630:GOR196658 GXZ196630:GYN196658 HHV196630:HIJ196658 HRR196630:HSF196658 IBN196630:ICB196658 ILJ196630:ILX196658 IVF196630:IVT196658 JFB196630:JFP196658 JOX196630:JPL196658 JYT196630:JZH196658 KIP196630:KJD196658 KSL196630:KSZ196658 LCH196630:LCV196658 LMD196630:LMR196658 LVZ196630:LWN196658 MFV196630:MGJ196658 MPR196630:MQF196658 MZN196630:NAB196658 NJJ196630:NJX196658 NTF196630:NTT196658 ODB196630:ODP196658 OMX196630:ONL196658 OWT196630:OXH196658 PGP196630:PHD196658 PQL196630:PQZ196658 QAH196630:QAV196658 QKD196630:QKR196658 QTZ196630:QUN196658 RDV196630:REJ196658 RNR196630:ROF196658 RXN196630:RYB196658 SHJ196630:SHX196658 SRF196630:SRT196658 TBB196630:TBP196658 TKX196630:TLL196658 TUT196630:TVH196658 UEP196630:UFD196658 UOL196630:UOZ196658 UYH196630:UYV196658 VID196630:VIR196658 VRZ196630:VSN196658 WBV196630:WCJ196658 WLR196630:WMF196658 WVN196630:WWB196658 F262166:T262194 JB262166:JP262194 SX262166:TL262194 ACT262166:ADH262194 AMP262166:AND262194 AWL262166:AWZ262194 BGH262166:BGV262194 BQD262166:BQR262194 BZZ262166:CAN262194 CJV262166:CKJ262194 CTR262166:CUF262194 DDN262166:DEB262194 DNJ262166:DNX262194 DXF262166:DXT262194 EHB262166:EHP262194 EQX262166:ERL262194 FAT262166:FBH262194 FKP262166:FLD262194 FUL262166:FUZ262194 GEH262166:GEV262194 GOD262166:GOR262194 GXZ262166:GYN262194 HHV262166:HIJ262194 HRR262166:HSF262194 IBN262166:ICB262194 ILJ262166:ILX262194 IVF262166:IVT262194 JFB262166:JFP262194 JOX262166:JPL262194 JYT262166:JZH262194 KIP262166:KJD262194 KSL262166:KSZ262194 LCH262166:LCV262194 LMD262166:LMR262194 LVZ262166:LWN262194 MFV262166:MGJ262194 MPR262166:MQF262194 MZN262166:NAB262194 NJJ262166:NJX262194 NTF262166:NTT262194 ODB262166:ODP262194 OMX262166:ONL262194 OWT262166:OXH262194 PGP262166:PHD262194 PQL262166:PQZ262194 QAH262166:QAV262194 QKD262166:QKR262194 QTZ262166:QUN262194 RDV262166:REJ262194 RNR262166:ROF262194 RXN262166:RYB262194 SHJ262166:SHX262194 SRF262166:SRT262194 TBB262166:TBP262194 TKX262166:TLL262194 TUT262166:TVH262194 UEP262166:UFD262194 UOL262166:UOZ262194 UYH262166:UYV262194 VID262166:VIR262194 VRZ262166:VSN262194 WBV262166:WCJ262194 WLR262166:WMF262194 WVN262166:WWB262194 F327702:T327730 JB327702:JP327730 SX327702:TL327730 ACT327702:ADH327730 AMP327702:AND327730 AWL327702:AWZ327730 BGH327702:BGV327730 BQD327702:BQR327730 BZZ327702:CAN327730 CJV327702:CKJ327730 CTR327702:CUF327730 DDN327702:DEB327730 DNJ327702:DNX327730 DXF327702:DXT327730 EHB327702:EHP327730 EQX327702:ERL327730 FAT327702:FBH327730 FKP327702:FLD327730 FUL327702:FUZ327730 GEH327702:GEV327730 GOD327702:GOR327730 GXZ327702:GYN327730 HHV327702:HIJ327730 HRR327702:HSF327730 IBN327702:ICB327730 ILJ327702:ILX327730 IVF327702:IVT327730 JFB327702:JFP327730 JOX327702:JPL327730 JYT327702:JZH327730 KIP327702:KJD327730 KSL327702:KSZ327730 LCH327702:LCV327730 LMD327702:LMR327730 LVZ327702:LWN327730 MFV327702:MGJ327730 MPR327702:MQF327730 MZN327702:NAB327730 NJJ327702:NJX327730 NTF327702:NTT327730 ODB327702:ODP327730 OMX327702:ONL327730 OWT327702:OXH327730 PGP327702:PHD327730 PQL327702:PQZ327730 QAH327702:QAV327730 QKD327702:QKR327730 QTZ327702:QUN327730 RDV327702:REJ327730 RNR327702:ROF327730 RXN327702:RYB327730 SHJ327702:SHX327730 SRF327702:SRT327730 TBB327702:TBP327730 TKX327702:TLL327730 TUT327702:TVH327730 UEP327702:UFD327730 UOL327702:UOZ327730 UYH327702:UYV327730 VID327702:VIR327730 VRZ327702:VSN327730 WBV327702:WCJ327730 WLR327702:WMF327730 WVN327702:WWB327730 F393238:T393266 JB393238:JP393266 SX393238:TL393266 ACT393238:ADH393266 AMP393238:AND393266 AWL393238:AWZ393266 BGH393238:BGV393266 BQD393238:BQR393266 BZZ393238:CAN393266 CJV393238:CKJ393266 CTR393238:CUF393266 DDN393238:DEB393266 DNJ393238:DNX393266 DXF393238:DXT393266 EHB393238:EHP393266 EQX393238:ERL393266 FAT393238:FBH393266 FKP393238:FLD393266 FUL393238:FUZ393266 GEH393238:GEV393266 GOD393238:GOR393266 GXZ393238:GYN393266 HHV393238:HIJ393266 HRR393238:HSF393266 IBN393238:ICB393266 ILJ393238:ILX393266 IVF393238:IVT393266 JFB393238:JFP393266 JOX393238:JPL393266 JYT393238:JZH393266 KIP393238:KJD393266 KSL393238:KSZ393266 LCH393238:LCV393266 LMD393238:LMR393266 LVZ393238:LWN393266 MFV393238:MGJ393266 MPR393238:MQF393266 MZN393238:NAB393266 NJJ393238:NJX393266 NTF393238:NTT393266 ODB393238:ODP393266 OMX393238:ONL393266 OWT393238:OXH393266 PGP393238:PHD393266 PQL393238:PQZ393266 QAH393238:QAV393266 QKD393238:QKR393266 QTZ393238:QUN393266 RDV393238:REJ393266 RNR393238:ROF393266 RXN393238:RYB393266 SHJ393238:SHX393266 SRF393238:SRT393266 TBB393238:TBP393266 TKX393238:TLL393266 TUT393238:TVH393266 UEP393238:UFD393266 UOL393238:UOZ393266 UYH393238:UYV393266 VID393238:VIR393266 VRZ393238:VSN393266 WBV393238:WCJ393266 WLR393238:WMF393266 WVN393238:WWB393266 F458774:T458802 JB458774:JP458802 SX458774:TL458802 ACT458774:ADH458802 AMP458774:AND458802 AWL458774:AWZ458802 BGH458774:BGV458802 BQD458774:BQR458802 BZZ458774:CAN458802 CJV458774:CKJ458802 CTR458774:CUF458802 DDN458774:DEB458802 DNJ458774:DNX458802 DXF458774:DXT458802 EHB458774:EHP458802 EQX458774:ERL458802 FAT458774:FBH458802 FKP458774:FLD458802 FUL458774:FUZ458802 GEH458774:GEV458802 GOD458774:GOR458802 GXZ458774:GYN458802 HHV458774:HIJ458802 HRR458774:HSF458802 IBN458774:ICB458802 ILJ458774:ILX458802 IVF458774:IVT458802 JFB458774:JFP458802 JOX458774:JPL458802 JYT458774:JZH458802 KIP458774:KJD458802 KSL458774:KSZ458802 LCH458774:LCV458802 LMD458774:LMR458802 LVZ458774:LWN458802 MFV458774:MGJ458802 MPR458774:MQF458802 MZN458774:NAB458802 NJJ458774:NJX458802 NTF458774:NTT458802 ODB458774:ODP458802 OMX458774:ONL458802 OWT458774:OXH458802 PGP458774:PHD458802 PQL458774:PQZ458802 QAH458774:QAV458802 QKD458774:QKR458802 QTZ458774:QUN458802 RDV458774:REJ458802 RNR458774:ROF458802 RXN458774:RYB458802 SHJ458774:SHX458802 SRF458774:SRT458802 TBB458774:TBP458802 TKX458774:TLL458802 TUT458774:TVH458802 UEP458774:UFD458802 UOL458774:UOZ458802 UYH458774:UYV458802 VID458774:VIR458802 VRZ458774:VSN458802 WBV458774:WCJ458802 WLR458774:WMF458802 WVN458774:WWB458802 F524310:T524338 JB524310:JP524338 SX524310:TL524338 ACT524310:ADH524338 AMP524310:AND524338 AWL524310:AWZ524338 BGH524310:BGV524338 BQD524310:BQR524338 BZZ524310:CAN524338 CJV524310:CKJ524338 CTR524310:CUF524338 DDN524310:DEB524338 DNJ524310:DNX524338 DXF524310:DXT524338 EHB524310:EHP524338 EQX524310:ERL524338 FAT524310:FBH524338 FKP524310:FLD524338 FUL524310:FUZ524338 GEH524310:GEV524338 GOD524310:GOR524338 GXZ524310:GYN524338 HHV524310:HIJ524338 HRR524310:HSF524338 IBN524310:ICB524338 ILJ524310:ILX524338 IVF524310:IVT524338 JFB524310:JFP524338 JOX524310:JPL524338 JYT524310:JZH524338 KIP524310:KJD524338 KSL524310:KSZ524338 LCH524310:LCV524338 LMD524310:LMR524338 LVZ524310:LWN524338 MFV524310:MGJ524338 MPR524310:MQF524338 MZN524310:NAB524338 NJJ524310:NJX524338 NTF524310:NTT524338 ODB524310:ODP524338 OMX524310:ONL524338 OWT524310:OXH524338 PGP524310:PHD524338 PQL524310:PQZ524338 QAH524310:QAV524338 QKD524310:QKR524338 QTZ524310:QUN524338 RDV524310:REJ524338 RNR524310:ROF524338 RXN524310:RYB524338 SHJ524310:SHX524338 SRF524310:SRT524338 TBB524310:TBP524338 TKX524310:TLL524338 TUT524310:TVH524338 UEP524310:UFD524338 UOL524310:UOZ524338 UYH524310:UYV524338 VID524310:VIR524338 VRZ524310:VSN524338 WBV524310:WCJ524338 WLR524310:WMF524338 WVN524310:WWB524338 F589846:T589874 JB589846:JP589874 SX589846:TL589874 ACT589846:ADH589874 AMP589846:AND589874 AWL589846:AWZ589874 BGH589846:BGV589874 BQD589846:BQR589874 BZZ589846:CAN589874 CJV589846:CKJ589874 CTR589846:CUF589874 DDN589846:DEB589874 DNJ589846:DNX589874 DXF589846:DXT589874 EHB589846:EHP589874 EQX589846:ERL589874 FAT589846:FBH589874 FKP589846:FLD589874 FUL589846:FUZ589874 GEH589846:GEV589874 GOD589846:GOR589874 GXZ589846:GYN589874 HHV589846:HIJ589874 HRR589846:HSF589874 IBN589846:ICB589874 ILJ589846:ILX589874 IVF589846:IVT589874 JFB589846:JFP589874 JOX589846:JPL589874 JYT589846:JZH589874 KIP589846:KJD589874 KSL589846:KSZ589874 LCH589846:LCV589874 LMD589846:LMR589874 LVZ589846:LWN589874 MFV589846:MGJ589874 MPR589846:MQF589874 MZN589846:NAB589874 NJJ589846:NJX589874 NTF589846:NTT589874 ODB589846:ODP589874 OMX589846:ONL589874 OWT589846:OXH589874 PGP589846:PHD589874 PQL589846:PQZ589874 QAH589846:QAV589874 QKD589846:QKR589874 QTZ589846:QUN589874 RDV589846:REJ589874 RNR589846:ROF589874 RXN589846:RYB589874 SHJ589846:SHX589874 SRF589846:SRT589874 TBB589846:TBP589874 TKX589846:TLL589874 TUT589846:TVH589874 UEP589846:UFD589874 UOL589846:UOZ589874 UYH589846:UYV589874 VID589846:VIR589874 VRZ589846:VSN589874 WBV589846:WCJ589874 WLR589846:WMF589874 WVN589846:WWB589874 F655382:T655410 JB655382:JP655410 SX655382:TL655410 ACT655382:ADH655410 AMP655382:AND655410 AWL655382:AWZ655410 BGH655382:BGV655410 BQD655382:BQR655410 BZZ655382:CAN655410 CJV655382:CKJ655410 CTR655382:CUF655410 DDN655382:DEB655410 DNJ655382:DNX655410 DXF655382:DXT655410 EHB655382:EHP655410 EQX655382:ERL655410 FAT655382:FBH655410 FKP655382:FLD655410 FUL655382:FUZ655410 GEH655382:GEV655410 GOD655382:GOR655410 GXZ655382:GYN655410 HHV655382:HIJ655410 HRR655382:HSF655410 IBN655382:ICB655410 ILJ655382:ILX655410 IVF655382:IVT655410 JFB655382:JFP655410 JOX655382:JPL655410 JYT655382:JZH655410 KIP655382:KJD655410 KSL655382:KSZ655410 LCH655382:LCV655410 LMD655382:LMR655410 LVZ655382:LWN655410 MFV655382:MGJ655410 MPR655382:MQF655410 MZN655382:NAB655410 NJJ655382:NJX655410 NTF655382:NTT655410 ODB655382:ODP655410 OMX655382:ONL655410 OWT655382:OXH655410 PGP655382:PHD655410 PQL655382:PQZ655410 QAH655382:QAV655410 QKD655382:QKR655410 QTZ655382:QUN655410 RDV655382:REJ655410 RNR655382:ROF655410 RXN655382:RYB655410 SHJ655382:SHX655410 SRF655382:SRT655410 TBB655382:TBP655410 TKX655382:TLL655410 TUT655382:TVH655410 UEP655382:UFD655410 UOL655382:UOZ655410 UYH655382:UYV655410 VID655382:VIR655410 VRZ655382:VSN655410 WBV655382:WCJ655410 WLR655382:WMF655410 WVN655382:WWB655410 F720918:T720946 JB720918:JP720946 SX720918:TL720946 ACT720918:ADH720946 AMP720918:AND720946 AWL720918:AWZ720946 BGH720918:BGV720946 BQD720918:BQR720946 BZZ720918:CAN720946 CJV720918:CKJ720946 CTR720918:CUF720946 DDN720918:DEB720946 DNJ720918:DNX720946 DXF720918:DXT720946 EHB720918:EHP720946 EQX720918:ERL720946 FAT720918:FBH720946 FKP720918:FLD720946 FUL720918:FUZ720946 GEH720918:GEV720946 GOD720918:GOR720946 GXZ720918:GYN720946 HHV720918:HIJ720946 HRR720918:HSF720946 IBN720918:ICB720946 ILJ720918:ILX720946 IVF720918:IVT720946 JFB720918:JFP720946 JOX720918:JPL720946 JYT720918:JZH720946 KIP720918:KJD720946 KSL720918:KSZ720946 LCH720918:LCV720946 LMD720918:LMR720946 LVZ720918:LWN720946 MFV720918:MGJ720946 MPR720918:MQF720946 MZN720918:NAB720946 NJJ720918:NJX720946 NTF720918:NTT720946 ODB720918:ODP720946 OMX720918:ONL720946 OWT720918:OXH720946 PGP720918:PHD720946 PQL720918:PQZ720946 QAH720918:QAV720946 QKD720918:QKR720946 QTZ720918:QUN720946 RDV720918:REJ720946 RNR720918:ROF720946 RXN720918:RYB720946 SHJ720918:SHX720946 SRF720918:SRT720946 TBB720918:TBP720946 TKX720918:TLL720946 TUT720918:TVH720946 UEP720918:UFD720946 UOL720918:UOZ720946 UYH720918:UYV720946 VID720918:VIR720946 VRZ720918:VSN720946 WBV720918:WCJ720946 WLR720918:WMF720946 WVN720918:WWB720946 F786454:T786482 JB786454:JP786482 SX786454:TL786482 ACT786454:ADH786482 AMP786454:AND786482 AWL786454:AWZ786482 BGH786454:BGV786482 BQD786454:BQR786482 BZZ786454:CAN786482 CJV786454:CKJ786482 CTR786454:CUF786482 DDN786454:DEB786482 DNJ786454:DNX786482 DXF786454:DXT786482 EHB786454:EHP786482 EQX786454:ERL786482 FAT786454:FBH786482 FKP786454:FLD786482 FUL786454:FUZ786482 GEH786454:GEV786482 GOD786454:GOR786482 GXZ786454:GYN786482 HHV786454:HIJ786482 HRR786454:HSF786482 IBN786454:ICB786482 ILJ786454:ILX786482 IVF786454:IVT786482 JFB786454:JFP786482 JOX786454:JPL786482 JYT786454:JZH786482 KIP786454:KJD786482 KSL786454:KSZ786482 LCH786454:LCV786482 LMD786454:LMR786482 LVZ786454:LWN786482 MFV786454:MGJ786482 MPR786454:MQF786482 MZN786454:NAB786482 NJJ786454:NJX786482 NTF786454:NTT786482 ODB786454:ODP786482 OMX786454:ONL786482 OWT786454:OXH786482 PGP786454:PHD786482 PQL786454:PQZ786482 QAH786454:QAV786482 QKD786454:QKR786482 QTZ786454:QUN786482 RDV786454:REJ786482 RNR786454:ROF786482 RXN786454:RYB786482 SHJ786454:SHX786482 SRF786454:SRT786482 TBB786454:TBP786482 TKX786454:TLL786482 TUT786454:TVH786482 UEP786454:UFD786482 UOL786454:UOZ786482 UYH786454:UYV786482 VID786454:VIR786482 VRZ786454:VSN786482 WBV786454:WCJ786482 WLR786454:WMF786482 WVN786454:WWB786482 F851990:T852018 JB851990:JP852018 SX851990:TL852018 ACT851990:ADH852018 AMP851990:AND852018 AWL851990:AWZ852018 BGH851990:BGV852018 BQD851990:BQR852018 BZZ851990:CAN852018 CJV851990:CKJ852018 CTR851990:CUF852018 DDN851990:DEB852018 DNJ851990:DNX852018 DXF851990:DXT852018 EHB851990:EHP852018 EQX851990:ERL852018 FAT851990:FBH852018 FKP851990:FLD852018 FUL851990:FUZ852018 GEH851990:GEV852018 GOD851990:GOR852018 GXZ851990:GYN852018 HHV851990:HIJ852018 HRR851990:HSF852018 IBN851990:ICB852018 ILJ851990:ILX852018 IVF851990:IVT852018 JFB851990:JFP852018 JOX851990:JPL852018 JYT851990:JZH852018 KIP851990:KJD852018 KSL851990:KSZ852018 LCH851990:LCV852018 LMD851990:LMR852018 LVZ851990:LWN852018 MFV851990:MGJ852018 MPR851990:MQF852018 MZN851990:NAB852018 NJJ851990:NJX852018 NTF851990:NTT852018 ODB851990:ODP852018 OMX851990:ONL852018 OWT851990:OXH852018 PGP851990:PHD852018 PQL851990:PQZ852018 QAH851990:QAV852018 QKD851990:QKR852018 QTZ851990:QUN852018 RDV851990:REJ852018 RNR851990:ROF852018 RXN851990:RYB852018 SHJ851990:SHX852018 SRF851990:SRT852018 TBB851990:TBP852018 TKX851990:TLL852018 TUT851990:TVH852018 UEP851990:UFD852018 UOL851990:UOZ852018 UYH851990:UYV852018 VID851990:VIR852018 VRZ851990:VSN852018 WBV851990:WCJ852018 WLR851990:WMF852018 WVN851990:WWB852018 F917526:T917554 JB917526:JP917554 SX917526:TL917554 ACT917526:ADH917554 AMP917526:AND917554 AWL917526:AWZ917554 BGH917526:BGV917554 BQD917526:BQR917554 BZZ917526:CAN917554 CJV917526:CKJ917554 CTR917526:CUF917554 DDN917526:DEB917554 DNJ917526:DNX917554 DXF917526:DXT917554 EHB917526:EHP917554 EQX917526:ERL917554 FAT917526:FBH917554 FKP917526:FLD917554 FUL917526:FUZ917554 GEH917526:GEV917554 GOD917526:GOR917554 GXZ917526:GYN917554 HHV917526:HIJ917554 HRR917526:HSF917554 IBN917526:ICB917554 ILJ917526:ILX917554 IVF917526:IVT917554 JFB917526:JFP917554 JOX917526:JPL917554 JYT917526:JZH917554 KIP917526:KJD917554 KSL917526:KSZ917554 LCH917526:LCV917554 LMD917526:LMR917554 LVZ917526:LWN917554 MFV917526:MGJ917554 MPR917526:MQF917554 MZN917526:NAB917554 NJJ917526:NJX917554 NTF917526:NTT917554 ODB917526:ODP917554 OMX917526:ONL917554 OWT917526:OXH917554 PGP917526:PHD917554 PQL917526:PQZ917554 QAH917526:QAV917554 QKD917526:QKR917554 QTZ917526:QUN917554 RDV917526:REJ917554 RNR917526:ROF917554 RXN917526:RYB917554 SHJ917526:SHX917554 SRF917526:SRT917554 TBB917526:TBP917554 TKX917526:TLL917554 TUT917526:TVH917554 UEP917526:UFD917554 UOL917526:UOZ917554 UYH917526:UYV917554 VID917526:VIR917554 VRZ917526:VSN917554 WBV917526:WCJ917554 WLR917526:WMF917554 WVN917526:WWB917554 F983062:T983090 JB983062:JP983090 SX983062:TL983090 ACT983062:ADH983090 AMP983062:AND983090 AWL983062:AWZ983090 BGH983062:BGV983090 BQD983062:BQR983090 BZZ983062:CAN983090 CJV983062:CKJ983090 CTR983062:CUF983090 DDN983062:DEB983090 DNJ983062:DNX983090 DXF983062:DXT983090 EHB983062:EHP983090 EQX983062:ERL983090 FAT983062:FBH983090 FKP983062:FLD983090 FUL983062:FUZ983090 GEH983062:GEV983090 GOD983062:GOR983090 GXZ983062:GYN983090 HHV983062:HIJ983090 HRR983062:HSF983090 IBN983062:ICB983090 ILJ983062:ILX983090 IVF983062:IVT983090 JFB983062:JFP983090 JOX983062:JPL983090 JYT983062:JZH983090 KIP983062:KJD983090 KSL983062:KSZ983090 LCH983062:LCV983090 LMD983062:LMR983090 LVZ983062:LWN983090 MFV983062:MGJ983090 MPR983062:MQF983090 MZN983062:NAB983090 NJJ983062:NJX983090 NTF983062:NTT983090 ODB983062:ODP983090 OMX983062:ONL983090 OWT983062:OXH983090 PGP983062:PHD983090 PQL983062:PQZ983090 QAH983062:QAV983090 QKD983062:QKR983090 QTZ983062:QUN983090 RDV983062:REJ983090 RNR983062:ROF983090 RXN983062:RYB983090 SHJ983062:SHX983090 SRF983062:SRT983090 TBB983062:TBP983090 TKX983062:TLL983090 TUT983062:TVH983090 UEP983062:UFD983090 UOL983062:UOZ983090 UYH983062:UYV983090 VID983062:VIR983090 VRZ983062:VSN983090 WBV983062:WCJ983090 WLR983062:WMF983090 H45 F9:Q34 F35:G45 I35:Q45 IY9:JM50 SU9:TI50 ACQ9:ADE50 AMM9:ANA50 AWI9:AWW50 BGE9:BGS50 BQA9:BQO50 BZW9:CAK50 CJS9:CKG50 CTO9:CUC50 DDK9:DDY50 DNG9:DNU50 DXC9:DXQ50 EGY9:EHM50 EQU9:ERI50 FAQ9:FBE50 FKM9:FLA50 FUI9:FUW50 GEE9:GES50 GOA9:GOO50 GXW9:GYK50 HHS9:HIG50 HRO9:HSC50 IBK9:IBY50 ILG9:ILU50 IVC9:IVQ50 JEY9:JFM50 JOU9:JPI50 JYQ9:JZE50 KIM9:KJA50 KSI9:KSW50 LCE9:LCS50 LMA9:LMO50 LVW9:LWK50 MFS9:MGG50 MPO9:MQC50 MZK9:MZY50 NJG9:NJU50 NTC9:NTQ50 OCY9:ODM50 OMU9:ONI50 OWQ9:OXE50 PGM9:PHA50 PQI9:PQW50 QAE9:QAS50 QKA9:QKO50 QTW9:QUK50 RDS9:REG50 RNO9:ROC50 RXK9:RXY50 SHG9:SHU50 SRC9:SRQ50 TAY9:TBM50 TKU9:TLI50 TUQ9:TVE50 UEM9:UFA50 UOI9:UOW50 UYE9:UYS50 VIA9:VIO50 VRW9:VSK50 WBS9:WCG50 WLO9:WMC50 WVK9:WVY50 H36 F46:Q50" xr:uid="{00000000-0002-0000-0100-000002000000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topLeftCell="A6" zoomScaleNormal="100" workbookViewId="0">
      <selection activeCell="B10" sqref="B10:B14"/>
    </sheetView>
  </sheetViews>
  <sheetFormatPr defaultColWidth="9" defaultRowHeight="10.5"/>
  <cols>
    <col min="1" max="1" width="8.75" style="59" customWidth="1"/>
    <col min="2" max="2" width="23" style="59" customWidth="1"/>
    <col min="3" max="3" width="24.875" style="59" bestFit="1" customWidth="1"/>
    <col min="4" max="5" width="37.5" style="59" customWidth="1"/>
    <col min="6" max="6" width="8.25" style="59" customWidth="1"/>
    <col min="7" max="7" width="13" style="59" customWidth="1"/>
    <col min="8" max="8" width="17.25" style="59" customWidth="1"/>
    <col min="9" max="16384" width="9" style="59"/>
  </cols>
  <sheetData>
    <row r="1" spans="1:8" ht="19.5">
      <c r="A1" s="158" t="s">
        <v>36</v>
      </c>
      <c r="B1" s="158"/>
      <c r="C1" s="158"/>
      <c r="D1" s="158"/>
      <c r="E1" s="158"/>
      <c r="F1" s="158"/>
      <c r="G1" s="158"/>
      <c r="H1" s="158"/>
    </row>
    <row r="2" spans="1:8" ht="12.75">
      <c r="A2" s="60"/>
      <c r="B2" s="60"/>
      <c r="C2" s="61"/>
      <c r="D2" s="62" t="str">
        <f>"Pass: "&amp;COUNTIF($F$6:$F$941,"Pass")</f>
        <v>Pass: 13</v>
      </c>
      <c r="E2" s="63" t="str">
        <f>"Untested: "&amp;COUNTIF($F$6:$F$941,"Untest")</f>
        <v>Untested: 0</v>
      </c>
      <c r="F2" s="60"/>
      <c r="G2" s="64"/>
      <c r="H2" s="64"/>
    </row>
    <row r="3" spans="1:8" ht="25.5">
      <c r="A3" s="65" t="s">
        <v>37</v>
      </c>
      <c r="B3" s="95" t="s">
        <v>71</v>
      </c>
      <c r="C3" s="66"/>
      <c r="D3" s="62" t="str">
        <f>"Fail: "&amp;COUNTIF($F$6:$F$941,"Fail")</f>
        <v>Fail: 0</v>
      </c>
      <c r="E3" s="63" t="str">
        <f>"N/A: "&amp;COUNTIF($F$6:$F$941,"N/A")</f>
        <v>N/A: 0</v>
      </c>
      <c r="F3" s="60"/>
      <c r="G3" s="64"/>
      <c r="H3" s="64"/>
    </row>
    <row r="4" spans="1:8" ht="12.75">
      <c r="A4" s="67" t="s">
        <v>38</v>
      </c>
      <c r="B4" s="95" t="s">
        <v>50</v>
      </c>
      <c r="C4" s="67"/>
      <c r="D4" s="68" t="str">
        <f>"Percent Complete: "&amp;ROUND((COUNTIF($F$7:$F$941,"Pass")*100)/((COUNTA($A$7:$A$941)*5)-COUNTIF($F$6:$F$951,"N/A")),2)&amp;"%"</f>
        <v>Percent Complete: 20%</v>
      </c>
      <c r="E4" s="69" t="str">
        <f>"Number of cases: "&amp;(COUNTA($A$6:$A$941))</f>
        <v>Number of cases: 13</v>
      </c>
      <c r="F4" s="60"/>
      <c r="G4" s="64"/>
      <c r="H4" s="64"/>
    </row>
    <row r="5" spans="1:8" ht="21">
      <c r="A5" s="70" t="s">
        <v>39</v>
      </c>
      <c r="B5" s="70" t="s">
        <v>40</v>
      </c>
      <c r="C5" s="70" t="s">
        <v>41</v>
      </c>
      <c r="D5" s="70" t="s">
        <v>42</v>
      </c>
      <c r="E5" s="70" t="s">
        <v>43</v>
      </c>
      <c r="F5" s="70" t="s">
        <v>29</v>
      </c>
      <c r="G5" s="70" t="s">
        <v>44</v>
      </c>
      <c r="H5" s="70" t="s">
        <v>45</v>
      </c>
    </row>
    <row r="6" spans="1:8" ht="21">
      <c r="A6" s="94" t="s">
        <v>46</v>
      </c>
      <c r="B6" s="72" t="s">
        <v>81</v>
      </c>
      <c r="C6" s="96" t="s">
        <v>110</v>
      </c>
      <c r="D6" s="72" t="s">
        <v>93</v>
      </c>
      <c r="E6" s="72" t="s">
        <v>76</v>
      </c>
      <c r="F6" s="71" t="s">
        <v>62</v>
      </c>
      <c r="G6" s="73" t="s">
        <v>73</v>
      </c>
      <c r="H6" s="96" t="s">
        <v>80</v>
      </c>
    </row>
    <row r="7" spans="1:8" ht="42">
      <c r="A7" s="94" t="s">
        <v>63</v>
      </c>
      <c r="B7" s="72" t="s">
        <v>77</v>
      </c>
      <c r="C7" s="96" t="s">
        <v>110</v>
      </c>
      <c r="D7" s="72" t="s">
        <v>95</v>
      </c>
      <c r="E7" s="72" t="s">
        <v>76</v>
      </c>
      <c r="F7" s="71" t="s">
        <v>62</v>
      </c>
      <c r="G7" s="73" t="s">
        <v>73</v>
      </c>
      <c r="H7" s="96" t="s">
        <v>80</v>
      </c>
    </row>
    <row r="8" spans="1:8" ht="42">
      <c r="A8" s="94" t="s">
        <v>64</v>
      </c>
      <c r="B8" s="72" t="s">
        <v>78</v>
      </c>
      <c r="C8" s="96" t="s">
        <v>110</v>
      </c>
      <c r="D8" s="72" t="s">
        <v>96</v>
      </c>
      <c r="E8" s="72" t="s">
        <v>76</v>
      </c>
      <c r="F8" s="71" t="s">
        <v>62</v>
      </c>
      <c r="G8" s="73" t="s">
        <v>73</v>
      </c>
      <c r="H8" s="96" t="s">
        <v>80</v>
      </c>
    </row>
    <row r="9" spans="1:8" ht="42">
      <c r="A9" s="94" t="s">
        <v>65</v>
      </c>
      <c r="B9" s="72" t="s">
        <v>79</v>
      </c>
      <c r="C9" s="96" t="s">
        <v>110</v>
      </c>
      <c r="D9" s="72" t="s">
        <v>97</v>
      </c>
      <c r="E9" s="72" t="s">
        <v>76</v>
      </c>
      <c r="F9" s="71" t="s">
        <v>62</v>
      </c>
      <c r="G9" s="73" t="s">
        <v>73</v>
      </c>
      <c r="H9" s="96" t="s">
        <v>80</v>
      </c>
    </row>
    <row r="10" spans="1:8" ht="52.5">
      <c r="A10" s="94" t="s">
        <v>66</v>
      </c>
      <c r="B10" s="96" t="s">
        <v>82</v>
      </c>
      <c r="C10" s="96" t="s">
        <v>110</v>
      </c>
      <c r="D10" s="72" t="s">
        <v>75</v>
      </c>
      <c r="E10" s="72" t="s">
        <v>88</v>
      </c>
      <c r="F10" s="71" t="s">
        <v>62</v>
      </c>
      <c r="G10" s="73" t="s">
        <v>73</v>
      </c>
      <c r="H10" s="96" t="s">
        <v>80</v>
      </c>
    </row>
    <row r="11" spans="1:8" ht="31.5">
      <c r="A11" s="94" t="s">
        <v>67</v>
      </c>
      <c r="B11" s="96" t="s">
        <v>83</v>
      </c>
      <c r="C11" s="96" t="s">
        <v>110</v>
      </c>
      <c r="D11" s="72" t="s">
        <v>86</v>
      </c>
      <c r="E11" s="72" t="s">
        <v>87</v>
      </c>
      <c r="F11" s="71" t="s">
        <v>62</v>
      </c>
      <c r="G11" s="73" t="s">
        <v>73</v>
      </c>
      <c r="H11" s="96" t="s">
        <v>80</v>
      </c>
    </row>
    <row r="12" spans="1:8" ht="42">
      <c r="A12" s="94" t="s">
        <v>68</v>
      </c>
      <c r="B12" s="96" t="s">
        <v>84</v>
      </c>
      <c r="C12" s="96" t="s">
        <v>110</v>
      </c>
      <c r="D12" s="72" t="s">
        <v>89</v>
      </c>
      <c r="E12" s="72" t="s">
        <v>92</v>
      </c>
      <c r="F12" s="71" t="s">
        <v>62</v>
      </c>
      <c r="G12" s="73" t="s">
        <v>73</v>
      </c>
      <c r="H12" s="96" t="s">
        <v>80</v>
      </c>
    </row>
    <row r="13" spans="1:8" ht="42">
      <c r="A13" s="94" t="s">
        <v>69</v>
      </c>
      <c r="B13" s="96" t="s">
        <v>85</v>
      </c>
      <c r="C13" s="96" t="s">
        <v>110</v>
      </c>
      <c r="D13" s="72" t="s">
        <v>91</v>
      </c>
      <c r="E13" s="72" t="s">
        <v>90</v>
      </c>
      <c r="F13" s="71" t="s">
        <v>62</v>
      </c>
      <c r="G13" s="73" t="s">
        <v>73</v>
      </c>
      <c r="H13" s="96" t="s">
        <v>80</v>
      </c>
    </row>
    <row r="14" spans="1:8" ht="31.5">
      <c r="A14" s="94" t="s">
        <v>70</v>
      </c>
      <c r="B14" s="96" t="s">
        <v>94</v>
      </c>
      <c r="C14" s="96" t="s">
        <v>110</v>
      </c>
      <c r="D14" s="72" t="s">
        <v>98</v>
      </c>
      <c r="E14" s="72" t="s">
        <v>76</v>
      </c>
      <c r="F14" s="71" t="s">
        <v>62</v>
      </c>
      <c r="G14" s="73" t="s">
        <v>73</v>
      </c>
      <c r="H14" s="96" t="s">
        <v>80</v>
      </c>
    </row>
    <row r="15" spans="1:8" ht="31.5">
      <c r="A15" s="94" t="s">
        <v>70</v>
      </c>
      <c r="B15" s="96" t="s">
        <v>102</v>
      </c>
      <c r="C15" s="96" t="s">
        <v>110</v>
      </c>
      <c r="D15" s="72" t="s">
        <v>104</v>
      </c>
      <c r="E15" s="72" t="s">
        <v>76</v>
      </c>
      <c r="F15" s="71" t="s">
        <v>62</v>
      </c>
      <c r="G15" s="73" t="s">
        <v>73</v>
      </c>
      <c r="H15" s="96" t="s">
        <v>80</v>
      </c>
    </row>
    <row r="16" spans="1:8" ht="31.5">
      <c r="A16" s="94" t="s">
        <v>99</v>
      </c>
      <c r="B16" s="96" t="s">
        <v>103</v>
      </c>
      <c r="C16" s="96" t="s">
        <v>110</v>
      </c>
      <c r="D16" s="72" t="s">
        <v>105</v>
      </c>
      <c r="E16" s="72" t="s">
        <v>76</v>
      </c>
      <c r="F16" s="71" t="s">
        <v>62</v>
      </c>
      <c r="G16" s="73" t="s">
        <v>73</v>
      </c>
      <c r="H16" s="96" t="s">
        <v>80</v>
      </c>
    </row>
    <row r="17" spans="1:8" ht="31.5">
      <c r="A17" s="94" t="s">
        <v>100</v>
      </c>
      <c r="B17" s="96" t="s">
        <v>106</v>
      </c>
      <c r="C17" s="96" t="s">
        <v>110</v>
      </c>
      <c r="D17" s="72" t="s">
        <v>109</v>
      </c>
      <c r="E17" s="72" t="s">
        <v>76</v>
      </c>
      <c r="F17" s="71" t="s">
        <v>62</v>
      </c>
      <c r="G17" s="73" t="s">
        <v>73</v>
      </c>
      <c r="H17" s="96" t="s">
        <v>80</v>
      </c>
    </row>
    <row r="18" spans="1:8" ht="31.5">
      <c r="A18" s="94" t="s">
        <v>101</v>
      </c>
      <c r="B18" s="96" t="s">
        <v>107</v>
      </c>
      <c r="C18" s="96" t="s">
        <v>110</v>
      </c>
      <c r="D18" s="72" t="s">
        <v>108</v>
      </c>
      <c r="E18" s="72" t="s">
        <v>76</v>
      </c>
      <c r="F18" s="71" t="s">
        <v>62</v>
      </c>
      <c r="G18" s="73" t="s">
        <v>73</v>
      </c>
      <c r="H18" s="96" t="s">
        <v>80</v>
      </c>
    </row>
  </sheetData>
  <mergeCells count="1">
    <mergeCell ref="A1:H1"/>
  </mergeCells>
  <phoneticPr fontId="31" type="noConversion"/>
  <dataValidations count="1">
    <dataValidation type="list" operator="equal" allowBlank="1" sqref="F6:F18" xr:uid="{2A407276-C563-44F2-9A6F-6DB5006AC155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2025-11-24T07:25:53Z</dcterms:modified>
</cp:coreProperties>
</file>